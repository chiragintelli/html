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b61e5f685d4a53c/D Drive/Mobile Application/OLD/Android/Projects/Heavy Metal/HMTL Data/"/>
    </mc:Choice>
  </mc:AlternateContent>
  <xr:revisionPtr revIDLastSave="11" documentId="11_812F3FC624303D0C985AAD062E75BB3F0820D461" xr6:coauthVersionLast="47" xr6:coauthVersionMax="47" xr10:uidLastSave="{E2EEBE92-9DA1-4CD0-8D27-1C490DBDEFCF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Sheet1!$A$2:$N$242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L6" i="1" s="1"/>
  <c r="M6" i="1"/>
  <c r="E218" i="1"/>
  <c r="E214" i="1"/>
  <c r="E209" i="1"/>
  <c r="E206" i="1"/>
  <c r="E194" i="1"/>
  <c r="E185" i="1"/>
  <c r="E184" i="1"/>
  <c r="E174" i="1"/>
  <c r="E173" i="1"/>
  <c r="E151" i="1"/>
  <c r="E150" i="1"/>
  <c r="E138" i="1"/>
  <c r="E132" i="1"/>
  <c r="E120" i="1"/>
  <c r="E116" i="1"/>
  <c r="E115" i="1"/>
  <c r="E105" i="1"/>
  <c r="E103" i="1"/>
  <c r="E95" i="1"/>
  <c r="E94" i="1"/>
  <c r="E88" i="1"/>
  <c r="E87" i="1"/>
  <c r="E81" i="1"/>
  <c r="E80" i="1"/>
  <c r="E76" i="1"/>
  <c r="E75" i="1"/>
  <c r="E69" i="1"/>
  <c r="E68" i="1"/>
  <c r="E62" i="1"/>
  <c r="E61" i="1"/>
  <c r="E55" i="1"/>
  <c r="E54" i="1"/>
  <c r="E48" i="1"/>
  <c r="E47" i="1"/>
  <c r="E41" i="1"/>
  <c r="E40" i="1"/>
  <c r="E34" i="1"/>
  <c r="E33" i="1"/>
  <c r="E27" i="1"/>
  <c r="E26" i="1"/>
  <c r="E22" i="1"/>
  <c r="E21" i="1"/>
  <c r="E20" i="1"/>
  <c r="E19" i="1"/>
  <c r="E15" i="1"/>
  <c r="E14" i="1"/>
  <c r="E11" i="1"/>
  <c r="E10" i="1"/>
  <c r="E228" i="1"/>
  <c r="E22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7" i="1"/>
  <c r="E226" i="1"/>
  <c r="E225" i="1"/>
  <c r="E224" i="1"/>
  <c r="E222" i="1"/>
  <c r="E221" i="1"/>
  <c r="E220" i="1"/>
  <c r="E219" i="1"/>
  <c r="E217" i="1"/>
  <c r="E216" i="1"/>
  <c r="E215" i="1"/>
  <c r="E213" i="1"/>
  <c r="E212" i="1"/>
  <c r="E211" i="1"/>
  <c r="E210" i="1"/>
  <c r="E208" i="1"/>
  <c r="E207" i="1"/>
  <c r="E205" i="1"/>
  <c r="E204" i="1"/>
  <c r="E203" i="1"/>
  <c r="E202" i="1"/>
  <c r="E201" i="1"/>
  <c r="E200" i="1"/>
  <c r="E199" i="1"/>
  <c r="E198" i="1"/>
  <c r="E197" i="1"/>
  <c r="E196" i="1"/>
  <c r="E195" i="1"/>
  <c r="E193" i="1"/>
  <c r="E192" i="1"/>
  <c r="E191" i="1"/>
  <c r="E190" i="1"/>
  <c r="E189" i="1"/>
  <c r="E188" i="1"/>
  <c r="E187" i="1"/>
  <c r="E186" i="1"/>
  <c r="E183" i="1"/>
  <c r="E182" i="1"/>
  <c r="E181" i="1"/>
  <c r="E180" i="1"/>
  <c r="E179" i="1"/>
  <c r="E178" i="1"/>
  <c r="E177" i="1"/>
  <c r="E176" i="1"/>
  <c r="E175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49" i="1"/>
  <c r="E148" i="1"/>
  <c r="E147" i="1"/>
  <c r="E146" i="1"/>
  <c r="E145" i="1"/>
  <c r="E144" i="1"/>
  <c r="E143" i="1"/>
  <c r="E142" i="1"/>
  <c r="E141" i="1"/>
  <c r="E140" i="1"/>
  <c r="E139" i="1"/>
  <c r="E137" i="1"/>
  <c r="E136" i="1"/>
  <c r="E135" i="1"/>
  <c r="E134" i="1"/>
  <c r="E133" i="1"/>
  <c r="E131" i="1"/>
  <c r="E130" i="1"/>
  <c r="E129" i="1"/>
  <c r="E128" i="1"/>
  <c r="E127" i="1"/>
  <c r="E126" i="1"/>
  <c r="E125" i="1"/>
  <c r="E124" i="1"/>
  <c r="E123" i="1"/>
  <c r="E122" i="1"/>
  <c r="E121" i="1"/>
  <c r="E119" i="1"/>
  <c r="E118" i="1"/>
  <c r="E117" i="1"/>
  <c r="E114" i="1"/>
  <c r="E113" i="1"/>
  <c r="E112" i="1"/>
  <c r="E111" i="1"/>
  <c r="E110" i="1"/>
  <c r="E109" i="1"/>
  <c r="E108" i="1"/>
  <c r="E107" i="1"/>
  <c r="E106" i="1"/>
  <c r="E104" i="1"/>
  <c r="E102" i="1"/>
  <c r="E101" i="1"/>
  <c r="E100" i="1"/>
  <c r="E99" i="1"/>
  <c r="E98" i="1"/>
  <c r="E97" i="1"/>
  <c r="E96" i="1"/>
  <c r="E93" i="1"/>
  <c r="E92" i="1"/>
  <c r="E91" i="1"/>
  <c r="E90" i="1"/>
  <c r="E89" i="1"/>
  <c r="E86" i="1"/>
  <c r="E85" i="1"/>
  <c r="E84" i="1"/>
  <c r="E83" i="1"/>
  <c r="E82" i="1"/>
  <c r="E79" i="1"/>
  <c r="E78" i="1"/>
  <c r="E77" i="1"/>
  <c r="E74" i="1"/>
  <c r="E73" i="1"/>
  <c r="E72" i="1"/>
  <c r="E71" i="1"/>
  <c r="E70" i="1"/>
  <c r="E67" i="1"/>
  <c r="E66" i="1"/>
  <c r="E65" i="1"/>
  <c r="E64" i="1"/>
  <c r="E63" i="1"/>
  <c r="E60" i="1"/>
  <c r="E59" i="1"/>
  <c r="E58" i="1"/>
  <c r="E57" i="1"/>
  <c r="E51" i="1"/>
  <c r="E50" i="1"/>
  <c r="E49" i="1"/>
  <c r="E46" i="1"/>
  <c r="E45" i="1"/>
  <c r="E44" i="1"/>
  <c r="E43" i="1"/>
  <c r="E42" i="1"/>
  <c r="E39" i="1"/>
  <c r="E38" i="1"/>
  <c r="E37" i="1"/>
  <c r="E36" i="1"/>
  <c r="E35" i="1"/>
  <c r="E32" i="1"/>
  <c r="E31" i="1"/>
  <c r="E30" i="1"/>
  <c r="E29" i="1"/>
  <c r="E28" i="1"/>
  <c r="E25" i="1"/>
  <c r="E24" i="1"/>
  <c r="E23" i="1"/>
  <c r="E18" i="1"/>
  <c r="E17" i="1"/>
  <c r="E16" i="1"/>
  <c r="E13" i="1"/>
  <c r="E12" i="1"/>
  <c r="E9" i="1"/>
  <c r="E8" i="1"/>
  <c r="E56" i="1"/>
  <c r="E53" i="1"/>
  <c r="E52" i="1"/>
  <c r="M242" i="1" l="1"/>
  <c r="N242" i="1"/>
  <c r="L242" i="1" s="1"/>
  <c r="M241" i="1"/>
  <c r="N241" i="1"/>
  <c r="L241" i="1" s="1"/>
  <c r="H242" i="1"/>
  <c r="H241" i="1"/>
  <c r="M240" i="1"/>
  <c r="N240" i="1"/>
  <c r="L240" i="1" s="1"/>
  <c r="M239" i="1"/>
  <c r="N239" i="1"/>
  <c r="L239" i="1" s="1"/>
  <c r="M238" i="1"/>
  <c r="N238" i="1"/>
  <c r="L238" i="1" s="1"/>
  <c r="M237" i="1"/>
  <c r="N237" i="1"/>
  <c r="L237" i="1" s="1"/>
  <c r="M236" i="1"/>
  <c r="N236" i="1"/>
  <c r="L236" i="1" s="1"/>
  <c r="M235" i="1"/>
  <c r="N235" i="1"/>
  <c r="L235" i="1" s="1"/>
  <c r="M234" i="1"/>
  <c r="N234" i="1"/>
  <c r="L234" i="1" s="1"/>
  <c r="M233" i="1"/>
  <c r="N233" i="1"/>
  <c r="L233" i="1" s="1"/>
  <c r="M232" i="1"/>
  <c r="N232" i="1"/>
  <c r="L232" i="1" s="1"/>
  <c r="M231" i="1"/>
  <c r="N231" i="1"/>
  <c r="L231" i="1" s="1"/>
  <c r="H240" i="1"/>
  <c r="H239" i="1"/>
  <c r="H238" i="1"/>
  <c r="H237" i="1"/>
  <c r="H236" i="1"/>
  <c r="H235" i="1"/>
  <c r="H234" i="1"/>
  <c r="H233" i="1"/>
  <c r="H232" i="1"/>
  <c r="H231" i="1"/>
  <c r="M230" i="1"/>
  <c r="N230" i="1"/>
  <c r="L230" i="1" s="1"/>
  <c r="M229" i="1"/>
  <c r="N229" i="1"/>
  <c r="L229" i="1" s="1"/>
  <c r="M228" i="1"/>
  <c r="N228" i="1"/>
  <c r="L228" i="1" s="1"/>
  <c r="M227" i="1"/>
  <c r="N227" i="1"/>
  <c r="L227" i="1" s="1"/>
  <c r="M226" i="1"/>
  <c r="N226" i="1"/>
  <c r="L226" i="1" s="1"/>
  <c r="M225" i="1"/>
  <c r="N225" i="1"/>
  <c r="L225" i="1" s="1"/>
  <c r="M224" i="1"/>
  <c r="N224" i="1"/>
  <c r="L224" i="1" s="1"/>
  <c r="M223" i="1"/>
  <c r="N223" i="1"/>
  <c r="L223" i="1" s="1"/>
  <c r="M222" i="1"/>
  <c r="N222" i="1"/>
  <c r="L222" i="1" s="1"/>
  <c r="M221" i="1"/>
  <c r="N221" i="1"/>
  <c r="L221" i="1" s="1"/>
  <c r="M220" i="1"/>
  <c r="N220" i="1"/>
  <c r="L220" i="1" s="1"/>
  <c r="M219" i="1"/>
  <c r="N219" i="1"/>
  <c r="L219" i="1" s="1"/>
  <c r="M218" i="1"/>
  <c r="N218" i="1"/>
  <c r="L218" i="1" s="1"/>
  <c r="M217" i="1"/>
  <c r="N217" i="1"/>
  <c r="L217" i="1" s="1"/>
  <c r="M216" i="1"/>
  <c r="N216" i="1"/>
  <c r="L216" i="1" s="1"/>
  <c r="M215" i="1"/>
  <c r="N215" i="1"/>
  <c r="L215" i="1" s="1"/>
  <c r="M214" i="1"/>
  <c r="N214" i="1"/>
  <c r="L214" i="1" s="1"/>
  <c r="M213" i="1"/>
  <c r="N213" i="1"/>
  <c r="L213" i="1" s="1"/>
  <c r="M212" i="1"/>
  <c r="N212" i="1"/>
  <c r="L212" i="1" s="1"/>
  <c r="M211" i="1"/>
  <c r="N211" i="1"/>
  <c r="L211" i="1" s="1"/>
  <c r="M210" i="1"/>
  <c r="N210" i="1"/>
  <c r="L210" i="1" s="1"/>
  <c r="M209" i="1"/>
  <c r="N209" i="1"/>
  <c r="L209" i="1" s="1"/>
  <c r="M208" i="1"/>
  <c r="N208" i="1"/>
  <c r="L208" i="1" s="1"/>
  <c r="M207" i="1"/>
  <c r="N207" i="1"/>
  <c r="L207" i="1" s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M206" i="1"/>
  <c r="N206" i="1"/>
  <c r="L206" i="1" s="1"/>
  <c r="M205" i="1"/>
  <c r="N205" i="1"/>
  <c r="L205" i="1" s="1"/>
  <c r="M204" i="1"/>
  <c r="N204" i="1"/>
  <c r="L204" i="1" s="1"/>
  <c r="M203" i="1"/>
  <c r="N203" i="1"/>
  <c r="L203" i="1" s="1"/>
  <c r="M202" i="1"/>
  <c r="N202" i="1"/>
  <c r="L202" i="1" s="1"/>
  <c r="M201" i="1"/>
  <c r="N201" i="1"/>
  <c r="L201" i="1" s="1"/>
  <c r="M200" i="1"/>
  <c r="N200" i="1"/>
  <c r="L200" i="1" s="1"/>
  <c r="M199" i="1"/>
  <c r="N199" i="1"/>
  <c r="L199" i="1" s="1"/>
  <c r="M198" i="1"/>
  <c r="N198" i="1"/>
  <c r="L198" i="1" s="1"/>
  <c r="M197" i="1"/>
  <c r="N197" i="1"/>
  <c r="L197" i="1" s="1"/>
  <c r="M196" i="1"/>
  <c r="N196" i="1"/>
  <c r="L196" i="1" s="1"/>
  <c r="M195" i="1"/>
  <c r="N195" i="1"/>
  <c r="L195" i="1" s="1"/>
  <c r="M194" i="1"/>
  <c r="N194" i="1"/>
  <c r="L194" i="1" s="1"/>
  <c r="M193" i="1"/>
  <c r="N193" i="1"/>
  <c r="L193" i="1" s="1"/>
  <c r="M192" i="1"/>
  <c r="N192" i="1"/>
  <c r="L192" i="1" s="1"/>
  <c r="M191" i="1"/>
  <c r="N191" i="1"/>
  <c r="L191" i="1" s="1"/>
  <c r="M190" i="1"/>
  <c r="N190" i="1"/>
  <c r="L190" i="1" s="1"/>
  <c r="M189" i="1"/>
  <c r="N189" i="1"/>
  <c r="L189" i="1" s="1"/>
  <c r="M188" i="1"/>
  <c r="N188" i="1"/>
  <c r="L188" i="1" s="1"/>
  <c r="M187" i="1"/>
  <c r="N187" i="1"/>
  <c r="L187" i="1" s="1"/>
  <c r="M186" i="1"/>
  <c r="N186" i="1"/>
  <c r="L186" i="1" s="1"/>
  <c r="M185" i="1"/>
  <c r="N185" i="1"/>
  <c r="L185" i="1" s="1"/>
  <c r="M184" i="1"/>
  <c r="N184" i="1"/>
  <c r="L184" i="1" s="1"/>
  <c r="M183" i="1"/>
  <c r="N183" i="1"/>
  <c r="L183" i="1" s="1"/>
  <c r="M182" i="1"/>
  <c r="N182" i="1"/>
  <c r="L182" i="1" s="1"/>
  <c r="M181" i="1"/>
  <c r="N181" i="1"/>
  <c r="L181" i="1" s="1"/>
  <c r="M180" i="1"/>
  <c r="N180" i="1"/>
  <c r="L180" i="1" s="1"/>
  <c r="M179" i="1"/>
  <c r="N179" i="1"/>
  <c r="L179" i="1" s="1"/>
  <c r="M178" i="1"/>
  <c r="N178" i="1"/>
  <c r="L178" i="1" s="1"/>
  <c r="M177" i="1"/>
  <c r="N177" i="1"/>
  <c r="L177" i="1" s="1"/>
  <c r="M176" i="1"/>
  <c r="N176" i="1"/>
  <c r="L176" i="1" s="1"/>
  <c r="M175" i="1"/>
  <c r="N175" i="1"/>
  <c r="L175" i="1" s="1"/>
  <c r="H181" i="1"/>
  <c r="H180" i="1"/>
  <c r="H179" i="1"/>
  <c r="H178" i="1"/>
  <c r="H177" i="1"/>
  <c r="H176" i="1"/>
  <c r="H175" i="1"/>
  <c r="N174" i="1"/>
  <c r="L174" i="1" s="1"/>
  <c r="N173" i="1"/>
  <c r="L173" i="1" s="1"/>
  <c r="N172" i="1"/>
  <c r="L172" i="1" s="1"/>
  <c r="N171" i="1"/>
  <c r="L171" i="1" s="1"/>
  <c r="N170" i="1"/>
  <c r="L170" i="1" s="1"/>
  <c r="N169" i="1"/>
  <c r="L169" i="1" s="1"/>
  <c r="N168" i="1"/>
  <c r="L168" i="1" s="1"/>
  <c r="N167" i="1"/>
  <c r="L167" i="1" s="1"/>
  <c r="N166" i="1"/>
  <c r="L166" i="1" s="1"/>
  <c r="N165" i="1"/>
  <c r="L165" i="1" s="1"/>
  <c r="N164" i="1"/>
  <c r="L164" i="1" s="1"/>
  <c r="N163" i="1"/>
  <c r="L163" i="1" s="1"/>
  <c r="N162" i="1"/>
  <c r="L162" i="1" s="1"/>
  <c r="N161" i="1"/>
  <c r="L161" i="1" s="1"/>
  <c r="N160" i="1"/>
  <c r="L160" i="1" s="1"/>
  <c r="N159" i="1"/>
  <c r="L159" i="1" s="1"/>
  <c r="N158" i="1"/>
  <c r="L158" i="1" s="1"/>
  <c r="N157" i="1"/>
  <c r="L157" i="1" s="1"/>
  <c r="N156" i="1"/>
  <c r="L156" i="1" s="1"/>
  <c r="N155" i="1"/>
  <c r="L155" i="1" s="1"/>
  <c r="N154" i="1"/>
  <c r="L154" i="1" s="1"/>
  <c r="N153" i="1"/>
  <c r="L153" i="1" s="1"/>
  <c r="N152" i="1"/>
  <c r="L152" i="1" s="1"/>
  <c r="N151" i="1"/>
  <c r="L151" i="1" s="1"/>
  <c r="N150" i="1"/>
  <c r="L150" i="1" s="1"/>
  <c r="N149" i="1"/>
  <c r="L149" i="1" s="1"/>
  <c r="N148" i="1"/>
  <c r="L148" i="1" s="1"/>
  <c r="N147" i="1"/>
  <c r="L147" i="1" s="1"/>
  <c r="N146" i="1"/>
  <c r="L146" i="1" s="1"/>
  <c r="N145" i="1"/>
  <c r="L145" i="1" s="1"/>
  <c r="N144" i="1"/>
  <c r="L144" i="1" s="1"/>
  <c r="N143" i="1"/>
  <c r="L143" i="1" s="1"/>
  <c r="N142" i="1"/>
  <c r="L142" i="1" s="1"/>
  <c r="N141" i="1"/>
  <c r="L141" i="1" s="1"/>
  <c r="N140" i="1"/>
  <c r="L140" i="1" s="1"/>
  <c r="N139" i="1"/>
  <c r="L139" i="1" s="1"/>
  <c r="N138" i="1"/>
  <c r="L138" i="1" s="1"/>
  <c r="N137" i="1"/>
  <c r="L137" i="1" s="1"/>
  <c r="N136" i="1"/>
  <c r="L136" i="1" s="1"/>
  <c r="N135" i="1"/>
  <c r="L135" i="1" s="1"/>
  <c r="N134" i="1"/>
  <c r="L134" i="1" s="1"/>
  <c r="N133" i="1"/>
  <c r="L133" i="1" s="1"/>
  <c r="N132" i="1"/>
  <c r="L132" i="1" s="1"/>
  <c r="N131" i="1"/>
  <c r="L131" i="1" s="1"/>
  <c r="N130" i="1"/>
  <c r="L130" i="1" s="1"/>
  <c r="N129" i="1"/>
  <c r="L129" i="1" s="1"/>
  <c r="N128" i="1"/>
  <c r="L128" i="1" s="1"/>
  <c r="N127" i="1"/>
  <c r="L127" i="1" s="1"/>
  <c r="N126" i="1"/>
  <c r="L126" i="1" s="1"/>
  <c r="N125" i="1"/>
  <c r="L125" i="1" s="1"/>
  <c r="N124" i="1"/>
  <c r="L124" i="1" s="1"/>
  <c r="N123" i="1"/>
  <c r="L123" i="1" s="1"/>
  <c r="N122" i="1"/>
  <c r="L122" i="1" s="1"/>
  <c r="N121" i="1"/>
  <c r="L121" i="1" s="1"/>
  <c r="N120" i="1"/>
  <c r="L120" i="1" s="1"/>
  <c r="N119" i="1"/>
  <c r="L119" i="1" s="1"/>
  <c r="N118" i="1"/>
  <c r="L118" i="1" s="1"/>
  <c r="N117" i="1"/>
  <c r="L117" i="1" s="1"/>
  <c r="N116" i="1"/>
  <c r="L116" i="1" s="1"/>
  <c r="N115" i="1"/>
  <c r="L115" i="1" s="1"/>
  <c r="N114" i="1"/>
  <c r="L114" i="1" s="1"/>
  <c r="N113" i="1"/>
  <c r="L113" i="1" s="1"/>
  <c r="N112" i="1"/>
  <c r="L112" i="1" s="1"/>
  <c r="N111" i="1"/>
  <c r="L111" i="1" s="1"/>
  <c r="N110" i="1"/>
  <c r="L110" i="1" s="1"/>
  <c r="N109" i="1"/>
  <c r="L109" i="1" s="1"/>
  <c r="N108" i="1"/>
  <c r="L108" i="1" s="1"/>
  <c r="N107" i="1"/>
  <c r="L107" i="1" s="1"/>
  <c r="N106" i="1"/>
  <c r="L106" i="1" s="1"/>
  <c r="N105" i="1"/>
  <c r="L105" i="1" s="1"/>
  <c r="N104" i="1"/>
  <c r="L104" i="1" s="1"/>
  <c r="N103" i="1"/>
  <c r="L103" i="1" s="1"/>
  <c r="N102" i="1"/>
  <c r="L102" i="1" s="1"/>
  <c r="N101" i="1"/>
  <c r="L101" i="1" s="1"/>
  <c r="N100" i="1"/>
  <c r="L100" i="1" s="1"/>
  <c r="N99" i="1"/>
  <c r="L99" i="1" s="1"/>
  <c r="N98" i="1"/>
  <c r="L98" i="1" s="1"/>
  <c r="N97" i="1"/>
  <c r="L97" i="1" s="1"/>
  <c r="N96" i="1"/>
  <c r="L96" i="1" s="1"/>
  <c r="N95" i="1"/>
  <c r="L95" i="1" s="1"/>
  <c r="N94" i="1"/>
  <c r="L94" i="1" s="1"/>
  <c r="N93" i="1"/>
  <c r="L93" i="1" s="1"/>
  <c r="N92" i="1"/>
  <c r="L92" i="1" s="1"/>
  <c r="N91" i="1"/>
  <c r="L91" i="1" s="1"/>
  <c r="N90" i="1"/>
  <c r="L90" i="1" s="1"/>
  <c r="N88" i="1"/>
  <c r="L88" i="1" s="1"/>
  <c r="N87" i="1"/>
  <c r="L87" i="1" s="1"/>
  <c r="N86" i="1"/>
  <c r="L86" i="1" s="1"/>
  <c r="N85" i="1"/>
  <c r="L85" i="1" s="1"/>
  <c r="N84" i="1"/>
  <c r="L84" i="1" s="1"/>
  <c r="N82" i="1"/>
  <c r="L82" i="1" s="1"/>
  <c r="N81" i="1"/>
  <c r="L81" i="1" s="1"/>
  <c r="N76" i="1"/>
  <c r="L76" i="1" s="1"/>
  <c r="N74" i="1"/>
  <c r="L74" i="1" s="1"/>
  <c r="N73" i="1"/>
  <c r="L73" i="1" s="1"/>
  <c r="N72" i="1"/>
  <c r="L72" i="1" s="1"/>
  <c r="N71" i="1"/>
  <c r="L71" i="1" s="1"/>
  <c r="N70" i="1"/>
  <c r="L70" i="1" s="1"/>
  <c r="N69" i="1"/>
  <c r="L69" i="1" s="1"/>
  <c r="N68" i="1"/>
  <c r="L68" i="1" s="1"/>
  <c r="N67" i="1"/>
  <c r="L67" i="1" s="1"/>
  <c r="N66" i="1"/>
  <c r="L66" i="1" s="1"/>
  <c r="N65" i="1"/>
  <c r="L65" i="1" s="1"/>
  <c r="N64" i="1"/>
  <c r="L64" i="1" s="1"/>
  <c r="N63" i="1"/>
  <c r="L63" i="1" s="1"/>
  <c r="N62" i="1"/>
  <c r="L62" i="1" s="1"/>
  <c r="N61" i="1"/>
  <c r="L61" i="1" s="1"/>
  <c r="N60" i="1"/>
  <c r="L60" i="1" s="1"/>
  <c r="N59" i="1"/>
  <c r="L59" i="1" s="1"/>
  <c r="N58" i="1"/>
  <c r="L58" i="1" s="1"/>
  <c r="N57" i="1"/>
  <c r="L57" i="1" s="1"/>
  <c r="N56" i="1"/>
  <c r="L56" i="1" s="1"/>
  <c r="N55" i="1"/>
  <c r="L55" i="1" s="1"/>
  <c r="N54" i="1"/>
  <c r="L54" i="1" s="1"/>
  <c r="N53" i="1"/>
  <c r="L53" i="1" s="1"/>
  <c r="N52" i="1"/>
  <c r="L52" i="1" s="1"/>
  <c r="N51" i="1"/>
  <c r="L51" i="1" s="1"/>
  <c r="N50" i="1"/>
  <c r="L50" i="1" s="1"/>
  <c r="N49" i="1"/>
  <c r="L49" i="1" s="1"/>
  <c r="N48" i="1"/>
  <c r="L48" i="1" s="1"/>
  <c r="N47" i="1"/>
  <c r="L47" i="1" s="1"/>
  <c r="N46" i="1"/>
  <c r="L46" i="1" s="1"/>
  <c r="N45" i="1"/>
  <c r="L45" i="1" s="1"/>
  <c r="N44" i="1"/>
  <c r="L44" i="1" s="1"/>
  <c r="N43" i="1"/>
  <c r="L43" i="1" s="1"/>
  <c r="N42" i="1"/>
  <c r="L42" i="1" s="1"/>
  <c r="N41" i="1"/>
  <c r="L41" i="1" s="1"/>
  <c r="N40" i="1"/>
  <c r="L40" i="1" s="1"/>
  <c r="N39" i="1"/>
  <c r="L39" i="1" s="1"/>
  <c r="N38" i="1"/>
  <c r="L38" i="1" s="1"/>
  <c r="N37" i="1"/>
  <c r="L37" i="1" s="1"/>
  <c r="N36" i="1"/>
  <c r="L36" i="1" s="1"/>
  <c r="N35" i="1"/>
  <c r="L35" i="1" s="1"/>
  <c r="N34" i="1"/>
  <c r="L34" i="1" s="1"/>
  <c r="N33" i="1"/>
  <c r="L33" i="1" s="1"/>
  <c r="N32" i="1"/>
  <c r="L32" i="1" s="1"/>
  <c r="N31" i="1"/>
  <c r="L31" i="1" s="1"/>
  <c r="N30" i="1"/>
  <c r="L30" i="1" s="1"/>
  <c r="N29" i="1"/>
  <c r="L29" i="1" s="1"/>
  <c r="N28" i="1"/>
  <c r="L28" i="1" s="1"/>
  <c r="N27" i="1"/>
  <c r="L27" i="1" s="1"/>
  <c r="N26" i="1"/>
  <c r="L26" i="1" s="1"/>
  <c r="N25" i="1"/>
  <c r="L25" i="1" s="1"/>
  <c r="N24" i="1"/>
  <c r="L24" i="1" s="1"/>
  <c r="N23" i="1"/>
  <c r="L23" i="1" s="1"/>
  <c r="N22" i="1"/>
  <c r="L22" i="1" s="1"/>
  <c r="N21" i="1"/>
  <c r="L21" i="1" s="1"/>
  <c r="N20" i="1"/>
  <c r="L20" i="1" s="1"/>
  <c r="N19" i="1"/>
  <c r="L19" i="1" s="1"/>
  <c r="N18" i="1"/>
  <c r="L18" i="1" s="1"/>
  <c r="N17" i="1"/>
  <c r="L17" i="1" s="1"/>
  <c r="N16" i="1"/>
  <c r="L16" i="1" s="1"/>
  <c r="N15" i="1"/>
  <c r="L15" i="1" s="1"/>
  <c r="N14" i="1"/>
  <c r="L14" i="1" s="1"/>
  <c r="N13" i="1"/>
  <c r="L13" i="1" s="1"/>
  <c r="N12" i="1"/>
  <c r="L12" i="1" s="1"/>
  <c r="N11" i="1"/>
  <c r="L11" i="1" s="1"/>
  <c r="N10" i="1"/>
  <c r="L10" i="1" s="1"/>
  <c r="N9" i="1"/>
  <c r="L9" i="1" s="1"/>
  <c r="N8" i="1"/>
  <c r="L8" i="1" s="1"/>
  <c r="N7" i="1"/>
  <c r="L7" i="1" s="1"/>
  <c r="N5" i="1"/>
  <c r="L5" i="1" s="1"/>
  <c r="N4" i="1"/>
  <c r="L4" i="1" s="1"/>
  <c r="N3" i="1"/>
  <c r="L3" i="1" s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8" i="1"/>
  <c r="M87" i="1"/>
  <c r="M86" i="1"/>
  <c r="M85" i="1"/>
  <c r="M84" i="1"/>
  <c r="M82" i="1"/>
  <c r="M81" i="1"/>
  <c r="M76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5" i="1"/>
  <c r="M4" i="1"/>
  <c r="M3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N89" i="1"/>
  <c r="L89" i="1" s="1"/>
  <c r="N83" i="1"/>
  <c r="L83" i="1" s="1"/>
  <c r="N80" i="1"/>
  <c r="L80" i="1" s="1"/>
  <c r="N79" i="1"/>
  <c r="L79" i="1" s="1"/>
  <c r="N78" i="1"/>
  <c r="L78" i="1" s="1"/>
  <c r="N77" i="1"/>
  <c r="L77" i="1" s="1"/>
  <c r="N75" i="1"/>
  <c r="L75" i="1" s="1"/>
  <c r="M75" i="1" l="1"/>
  <c r="M79" i="1"/>
  <c r="M78" i="1"/>
  <c r="M80" i="1"/>
  <c r="M89" i="1"/>
  <c r="M77" i="1"/>
  <c r="M83" i="1"/>
</calcChain>
</file>

<file path=xl/sharedStrings.xml><?xml version="1.0" encoding="utf-8"?>
<sst xmlns="http://schemas.openxmlformats.org/spreadsheetml/2006/main" count="345" uniqueCount="22">
  <si>
    <t>NPS</t>
  </si>
  <si>
    <t>THK  INCH</t>
  </si>
  <si>
    <t>SCH</t>
  </si>
  <si>
    <t>SCH NO.</t>
  </si>
  <si>
    <t>DN</t>
  </si>
  <si>
    <t>OD       MM</t>
  </si>
  <si>
    <t xml:space="preserve">OD      INCH </t>
  </si>
  <si>
    <t>THK       MM</t>
  </si>
  <si>
    <t>WEIGHT   Kg/m</t>
  </si>
  <si>
    <t>STD</t>
  </si>
  <si>
    <t>XS</t>
  </si>
  <si>
    <t>XXS</t>
  </si>
  <si>
    <t>kg/ft</t>
  </si>
  <si>
    <t>lb/mtr</t>
  </si>
  <si>
    <t>lb/ft</t>
  </si>
  <si>
    <t>SCHEDULE</t>
  </si>
  <si>
    <t xml:space="preserve"> </t>
  </si>
  <si>
    <t>5S</t>
  </si>
  <si>
    <t>10S</t>
  </si>
  <si>
    <t>20S</t>
  </si>
  <si>
    <t>40S</t>
  </si>
  <si>
    <t>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</si>
</sst>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Font="1" applyBorder="1" applyAlignment="1"/>
    <xf numFmtId="164" fontId="0" fillId="0" borderId="0" xfId="1" applyFont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1" applyFont="1" applyBorder="1" applyAlignment="1"/>
    <xf numFmtId="164" fontId="0" fillId="0" borderId="3" xfId="1" applyFont="1" applyBorder="1" applyAlignment="1"/>
    <xf numFmtId="16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1" applyFont="1" applyBorder="1"/>
    <xf numFmtId="164" fontId="0" fillId="0" borderId="6" xfId="1" applyFont="1" applyBorder="1"/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164" fontId="0" fillId="0" borderId="8" xfId="1" applyFont="1" applyBorder="1" applyAlignment="1"/>
    <xf numFmtId="164" fontId="0" fillId="0" borderId="9" xfId="1" applyFont="1" applyBorder="1" applyAlignment="1"/>
    <xf numFmtId="0" fontId="1" fillId="0" borderId="11" xfId="0" applyFont="1" applyBorder="1" applyAlignment="1">
      <alignment horizontal="center" vertical="center" wrapText="1"/>
    </xf>
    <xf numFmtId="164" fontId="1" fillId="0" borderId="11" xfId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14" xfId="1" applyFont="1" applyBorder="1" applyAlignment="1"/>
    <xf numFmtId="164" fontId="0" fillId="0" borderId="15" xfId="1" applyFont="1" applyBorder="1" applyAlignment="1"/>
    <xf numFmtId="2" fontId="0" fillId="2" borderId="1" xfId="0" applyNumberFormat="1" applyFill="1" applyBorder="1" applyAlignment="1">
      <alignment horizontal="center"/>
    </xf>
    <xf numFmtId="164" fontId="0" fillId="2" borderId="1" xfId="1" applyFont="1" applyFill="1" applyBorder="1" applyAlignment="1"/>
    <xf numFmtId="164" fontId="0" fillId="2" borderId="3" xfId="1" applyFont="1" applyFill="1" applyBorder="1" applyAlignment="1"/>
    <xf numFmtId="164" fontId="0" fillId="0" borderId="0" xfId="1" applyFont="1" applyBorder="1" applyAlignment="1">
      <alignment horizontal="center"/>
    </xf>
    <xf numFmtId="164" fontId="0" fillId="0" borderId="8" xfId="1" applyFont="1" applyBorder="1" applyAlignment="1">
      <alignment horizontal="center"/>
    </xf>
    <xf numFmtId="164" fontId="0" fillId="0" borderId="1" xfId="1" applyFont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164" fontId="0" fillId="2" borderId="1" xfId="1" applyFont="1" applyFill="1" applyBorder="1" applyAlignment="1">
      <alignment horizontal="center"/>
    </xf>
    <xf numFmtId="164" fontId="0" fillId="0" borderId="14" xfId="1" applyFont="1" applyBorder="1" applyAlignment="1">
      <alignment horizontal="center"/>
    </xf>
    <xf numFmtId="164" fontId="0" fillId="0" borderId="5" xfId="1" applyFont="1" applyBorder="1" applyAlignment="1">
      <alignment horizontal="center"/>
    </xf>
    <xf numFmtId="164" fontId="0" fillId="0" borderId="0" xfId="1" applyFont="1" applyAlignment="1">
      <alignment horizontal="center"/>
    </xf>
    <xf numFmtId="13" fontId="0" fillId="0" borderId="0" xfId="0" applyNumberFormat="1" applyAlignment="1">
      <alignment horizontal="center"/>
    </xf>
    <xf numFmtId="13" fontId="1" fillId="0" borderId="10" xfId="0" applyNumberFormat="1" applyFont="1" applyBorder="1" applyAlignment="1">
      <alignment horizontal="center" vertical="center" wrapText="1"/>
    </xf>
    <xf numFmtId="13" fontId="0" fillId="0" borderId="7" xfId="0" quotePrefix="1" applyNumberFormat="1" applyBorder="1" applyAlignment="1">
      <alignment horizontal="center"/>
    </xf>
    <xf numFmtId="13" fontId="0" fillId="0" borderId="2" xfId="0" quotePrefix="1" applyNumberFormat="1" applyBorder="1" applyAlignment="1">
      <alignment horizontal="center"/>
    </xf>
    <xf numFmtId="13" fontId="0" fillId="0" borderId="2" xfId="0" applyNumberFormat="1" applyBorder="1" applyAlignment="1">
      <alignment horizontal="center"/>
    </xf>
    <xf numFmtId="13" fontId="0" fillId="0" borderId="13" xfId="0" applyNumberFormat="1" applyBorder="1" applyAlignment="1">
      <alignment horizontal="center"/>
    </xf>
    <xf numFmtId="13" fontId="0" fillId="0" borderId="4" xfId="0" applyNumberForma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164" fontId="4" fillId="0" borderId="11" xfId="1" applyFont="1" applyBorder="1" applyAlignment="1">
      <alignment horizontal="center" vertical="center" wrapText="1"/>
    </xf>
    <xf numFmtId="164" fontId="4" fillId="0" borderId="12" xfId="1" applyFont="1" applyBorder="1" applyAlignment="1">
      <alignment horizontal="center" vertical="center"/>
    </xf>
    <xf numFmtId="0" fontId="0" fillId="0" borderId="14" xfId="0" quotePrefix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305"/>
  <sheetViews>
    <sheetView tabSelected="1" zoomScaleNormal="100" workbookViewId="0">
      <pane ySplit="2" topLeftCell="A3" activePane="bottomLeft" state="frozen"/>
      <selection pane="bottomLeft" activeCell="G147" sqref="G147"/>
    </sheetView>
  </sheetViews>
  <sheetFormatPr defaultColWidth="9.1328125" defaultRowHeight="14.25" x14ac:dyDescent="0.45"/>
  <cols>
    <col min="1" max="1" width="9.73046875" style="40" bestFit="1" customWidth="1"/>
    <col min="2" max="3" width="9" style="1" hidden="1" customWidth="1"/>
    <col min="4" max="4" width="12.86328125" style="1" hidden="1" customWidth="1"/>
    <col min="5" max="5" width="14.59765625" style="1" bestFit="1" customWidth="1"/>
    <col min="6" max="6" width="0" style="1" hidden="1" customWidth="1"/>
    <col min="7" max="7" width="9.59765625" style="39" bestFit="1" customWidth="1"/>
    <col min="8" max="11" width="9.1328125" style="1"/>
    <col min="12" max="12" width="9.265625" style="6" bestFit="1" customWidth="1"/>
    <col min="13" max="13" width="9.1328125" style="6"/>
    <col min="14" max="14" width="10" style="6" bestFit="1" customWidth="1"/>
  </cols>
  <sheetData>
    <row r="1" spans="1:14" ht="14.65" thickBot="1" x14ac:dyDescent="0.5">
      <c r="G1" s="32"/>
      <c r="L1" s="5"/>
      <c r="M1" s="5"/>
      <c r="N1" s="5"/>
    </row>
    <row r="2" spans="1:14" s="2" customFormat="1" ht="39" customHeight="1" thickBot="1" x14ac:dyDescent="0.5">
      <c r="A2" s="41" t="s">
        <v>0</v>
      </c>
      <c r="B2" s="22" t="s">
        <v>2</v>
      </c>
      <c r="C2" s="22"/>
      <c r="D2" s="22" t="s">
        <v>3</v>
      </c>
      <c r="E2" s="22" t="s">
        <v>15</v>
      </c>
      <c r="F2" s="22" t="s">
        <v>4</v>
      </c>
      <c r="G2" s="48" t="s">
        <v>5</v>
      </c>
      <c r="H2" s="47" t="s">
        <v>7</v>
      </c>
      <c r="I2" s="47" t="s">
        <v>8</v>
      </c>
      <c r="J2" s="47" t="s">
        <v>6</v>
      </c>
      <c r="K2" s="47" t="s">
        <v>1</v>
      </c>
      <c r="L2" s="49" t="s">
        <v>14</v>
      </c>
      <c r="M2" s="23" t="s">
        <v>12</v>
      </c>
      <c r="N2" s="23" t="s">
        <v>13</v>
      </c>
    </row>
    <row r="3" spans="1:14" hidden="1" x14ac:dyDescent="0.45">
      <c r="A3" s="42">
        <v>0.125</v>
      </c>
      <c r="B3" s="18"/>
      <c r="C3" s="50" t="s">
        <v>16</v>
      </c>
      <c r="D3" s="18">
        <v>10</v>
      </c>
      <c r="E3" s="18" t="s">
        <v>17</v>
      </c>
      <c r="F3" s="18">
        <v>6</v>
      </c>
      <c r="G3" s="33">
        <v>10.3</v>
      </c>
      <c r="H3" s="19">
        <v>1.24</v>
      </c>
      <c r="I3" s="19">
        <v>0.28000000000000003</v>
      </c>
      <c r="J3" s="17">
        <v>0.40500000000000003</v>
      </c>
      <c r="K3" s="17">
        <v>4.9000000000000002E-2</v>
      </c>
      <c r="L3" s="21">
        <f t="shared" ref="L3:L67" si="0">N3/3.2808</f>
        <v>0.18815360082906607</v>
      </c>
      <c r="M3" s="20">
        <f>I3/3.2808</f>
        <v>8.5345037795659592E-2</v>
      </c>
      <c r="N3" s="20">
        <f>I3*2.20462262</f>
        <v>0.61729433359999997</v>
      </c>
    </row>
    <row r="4" spans="1:14" hidden="1" x14ac:dyDescent="0.45">
      <c r="A4" s="42">
        <v>0.125</v>
      </c>
      <c r="B4" s="8"/>
      <c r="C4" s="50" t="s">
        <v>16</v>
      </c>
      <c r="D4" s="8">
        <v>30</v>
      </c>
      <c r="E4" s="18" t="s">
        <v>18</v>
      </c>
      <c r="F4" s="8">
        <v>6</v>
      </c>
      <c r="G4" s="34">
        <v>10.3</v>
      </c>
      <c r="H4" s="9">
        <v>1.45</v>
      </c>
      <c r="I4" s="9">
        <v>0.32</v>
      </c>
      <c r="J4" s="7">
        <v>0.40500000000000003</v>
      </c>
      <c r="K4" s="7">
        <v>5.7000000000000002E-2</v>
      </c>
      <c r="L4" s="11">
        <f t="shared" si="0"/>
        <v>0.21503268666178976</v>
      </c>
      <c r="M4" s="10">
        <f t="shared" ref="M4:M59" si="1">I4/3.2808</f>
        <v>9.7537186052182395E-2</v>
      </c>
      <c r="N4" s="10">
        <f t="shared" ref="N4:N59" si="2">I4*2.20462262</f>
        <v>0.70547923839999993</v>
      </c>
    </row>
    <row r="5" spans="1:14" hidden="1" x14ac:dyDescent="0.45">
      <c r="A5" s="42">
        <v>0.125</v>
      </c>
      <c r="B5" s="8" t="s">
        <v>9</v>
      </c>
      <c r="C5" s="50" t="s">
        <v>16</v>
      </c>
      <c r="D5" s="8">
        <v>40</v>
      </c>
      <c r="E5" s="18" t="s">
        <v>19</v>
      </c>
      <c r="F5" s="8">
        <v>6</v>
      </c>
      <c r="G5" s="34">
        <v>10.3</v>
      </c>
      <c r="H5" s="9">
        <v>1.73</v>
      </c>
      <c r="I5" s="9">
        <v>0.37</v>
      </c>
      <c r="J5" s="7">
        <v>0.40500000000000003</v>
      </c>
      <c r="K5" s="7">
        <v>6.8000000000000005E-2</v>
      </c>
      <c r="L5" s="11">
        <f t="shared" si="0"/>
        <v>0.24863154395269443</v>
      </c>
      <c r="M5" s="10">
        <f t="shared" si="1"/>
        <v>0.11277737137283589</v>
      </c>
      <c r="N5" s="10">
        <f t="shared" si="2"/>
        <v>0.81571036939999997</v>
      </c>
    </row>
    <row r="6" spans="1:14" hidden="1" x14ac:dyDescent="0.45">
      <c r="A6" s="42">
        <v>0.125</v>
      </c>
      <c r="B6" s="8" t="s">
        <v>10</v>
      </c>
      <c r="C6" s="50" t="s">
        <v>16</v>
      </c>
      <c r="D6" s="8">
        <v>80</v>
      </c>
      <c r="E6" s="18" t="s">
        <v>20</v>
      </c>
      <c r="F6" s="8">
        <v>6</v>
      </c>
      <c r="G6" s="34">
        <v>10.3</v>
      </c>
      <c r="H6" s="9">
        <v>2.41</v>
      </c>
      <c r="I6" s="9">
        <v>0.47</v>
      </c>
      <c r="J6" s="7">
        <v>0.40500000000000003</v>
      </c>
      <c r="K6" s="7">
        <v>9.5000000000000001E-2</v>
      </c>
      <c r="L6" s="11">
        <f t="shared" ref="L6" si="3">N6/3.2808</f>
        <v>0.31582925853450372</v>
      </c>
      <c r="M6" s="10">
        <f t="shared" ref="M6" si="4">I6/3.2808</f>
        <v>0.14325774201414287</v>
      </c>
      <c r="N6" s="10">
        <f t="shared" ref="N6" si="5">I6*2.20462262</f>
        <v>1.0361726313999999</v>
      </c>
    </row>
    <row r="7" spans="1:14" hidden="1" x14ac:dyDescent="0.45">
      <c r="A7" s="42">
        <v>0.125</v>
      </c>
      <c r="B7" s="8" t="s">
        <v>10</v>
      </c>
      <c r="C7" s="50" t="s">
        <v>16</v>
      </c>
      <c r="D7" s="8">
        <v>80</v>
      </c>
      <c r="E7" s="18" t="s">
        <v>21</v>
      </c>
      <c r="F7" s="8">
        <v>6</v>
      </c>
      <c r="G7" s="34">
        <v>10.3</v>
      </c>
      <c r="H7" s="9">
        <v>2.41</v>
      </c>
      <c r="I7" s="9">
        <v>0.47</v>
      </c>
      <c r="J7" s="7">
        <v>0.40500000000000003</v>
      </c>
      <c r="K7" s="7">
        <v>9.5000000000000001E-2</v>
      </c>
      <c r="L7" s="11">
        <f t="shared" si="0"/>
        <v>0.31582925853450372</v>
      </c>
      <c r="M7" s="10">
        <f t="shared" si="1"/>
        <v>0.14325774201414287</v>
      </c>
      <c r="N7" s="10">
        <f t="shared" si="2"/>
        <v>1.0361726313999999</v>
      </c>
    </row>
    <row r="8" spans="1:14" hidden="1" x14ac:dyDescent="0.45">
      <c r="A8" s="43">
        <v>0.25</v>
      </c>
      <c r="B8" s="8"/>
      <c r="C8" s="50" t="s">
        <v>16</v>
      </c>
      <c r="D8" s="8">
        <v>10</v>
      </c>
      <c r="E8" s="18" t="str">
        <f t="shared" ref="E8:E51" si="6">CONCATENATE(B8,D8)</f>
        <v>10</v>
      </c>
      <c r="F8" s="8">
        <v>8</v>
      </c>
      <c r="G8" s="34">
        <v>13.7</v>
      </c>
      <c r="H8" s="9">
        <v>1.65</v>
      </c>
      <c r="I8" s="9">
        <v>0.49</v>
      </c>
      <c r="J8" s="7">
        <v>0.54</v>
      </c>
      <c r="K8" s="7">
        <v>6.5000000000000002E-2</v>
      </c>
      <c r="L8" s="11">
        <f t="shared" si="0"/>
        <v>0.32926880145086557</v>
      </c>
      <c r="M8" s="10">
        <f t="shared" si="1"/>
        <v>0.14935381614240428</v>
      </c>
      <c r="N8" s="10">
        <f t="shared" si="2"/>
        <v>1.0802650837999999</v>
      </c>
    </row>
    <row r="9" spans="1:14" hidden="1" x14ac:dyDescent="0.45">
      <c r="A9" s="43">
        <v>0.25</v>
      </c>
      <c r="B9" s="8"/>
      <c r="C9" s="50" t="s">
        <v>16</v>
      </c>
      <c r="D9" s="8">
        <v>30</v>
      </c>
      <c r="E9" s="18" t="str">
        <f t="shared" si="6"/>
        <v>30</v>
      </c>
      <c r="F9" s="8">
        <v>8</v>
      </c>
      <c r="G9" s="34">
        <v>13.7</v>
      </c>
      <c r="H9" s="9">
        <v>1.85</v>
      </c>
      <c r="I9" s="9">
        <v>0.54</v>
      </c>
      <c r="J9" s="7">
        <v>0.54</v>
      </c>
      <c r="K9" s="7">
        <v>7.2999999999999995E-2</v>
      </c>
      <c r="L9" s="11">
        <f t="shared" si="0"/>
        <v>0.36286765874177029</v>
      </c>
      <c r="M9" s="10">
        <f t="shared" si="1"/>
        <v>0.1645940014630578</v>
      </c>
      <c r="N9" s="10">
        <f t="shared" si="2"/>
        <v>1.1904962148</v>
      </c>
    </row>
    <row r="10" spans="1:14" hidden="1" x14ac:dyDescent="0.45">
      <c r="A10" s="43">
        <v>0.25</v>
      </c>
      <c r="B10" s="8" t="s">
        <v>9</v>
      </c>
      <c r="C10" s="50" t="s">
        <v>16</v>
      </c>
      <c r="D10" s="8">
        <v>40</v>
      </c>
      <c r="E10" s="18" t="str">
        <f t="shared" ref="E10:E11" si="7">CONCATENATE(B10,C10,D10)</f>
        <v>STD 40</v>
      </c>
      <c r="F10" s="8">
        <v>8</v>
      </c>
      <c r="G10" s="34">
        <v>13.7</v>
      </c>
      <c r="H10" s="9">
        <v>2.2400000000000002</v>
      </c>
      <c r="I10" s="9">
        <v>0.63</v>
      </c>
      <c r="J10" s="7">
        <v>0.54</v>
      </c>
      <c r="K10" s="7">
        <v>8.7999999999999995E-2</v>
      </c>
      <c r="L10" s="11">
        <f t="shared" si="0"/>
        <v>0.42334560186539866</v>
      </c>
      <c r="M10" s="10">
        <f t="shared" si="1"/>
        <v>0.19202633504023409</v>
      </c>
      <c r="N10" s="10">
        <f t="shared" si="2"/>
        <v>1.3889122506</v>
      </c>
    </row>
    <row r="11" spans="1:14" hidden="1" x14ac:dyDescent="0.45">
      <c r="A11" s="43">
        <v>0.25</v>
      </c>
      <c r="B11" s="8" t="s">
        <v>10</v>
      </c>
      <c r="C11" s="50" t="s">
        <v>16</v>
      </c>
      <c r="D11" s="8">
        <v>80</v>
      </c>
      <c r="E11" s="18" t="str">
        <f t="shared" si="7"/>
        <v>XS 80</v>
      </c>
      <c r="F11" s="8">
        <v>8</v>
      </c>
      <c r="G11" s="34">
        <v>13.7</v>
      </c>
      <c r="H11" s="9">
        <v>3.02</v>
      </c>
      <c r="I11" s="9">
        <v>0.8</v>
      </c>
      <c r="J11" s="7">
        <v>0.54</v>
      </c>
      <c r="K11" s="7">
        <v>0.11899999999999999</v>
      </c>
      <c r="L11" s="11">
        <f t="shared" si="0"/>
        <v>0.53758171665447452</v>
      </c>
      <c r="M11" s="10">
        <f t="shared" si="1"/>
        <v>0.24384296513045597</v>
      </c>
      <c r="N11" s="10">
        <f t="shared" si="2"/>
        <v>1.7636980959999999</v>
      </c>
    </row>
    <row r="12" spans="1:14" hidden="1" x14ac:dyDescent="0.45">
      <c r="A12" s="43">
        <v>0.375</v>
      </c>
      <c r="B12" s="8"/>
      <c r="C12" s="50" t="s">
        <v>16</v>
      </c>
      <c r="D12" s="8">
        <v>10</v>
      </c>
      <c r="E12" s="18" t="str">
        <f t="shared" si="6"/>
        <v>10</v>
      </c>
      <c r="F12" s="8">
        <v>10</v>
      </c>
      <c r="G12" s="34">
        <v>17.100000000000001</v>
      </c>
      <c r="H12" s="9">
        <v>1.65</v>
      </c>
      <c r="I12" s="9">
        <v>0.63</v>
      </c>
      <c r="J12" s="7">
        <v>0.67500000000000004</v>
      </c>
      <c r="K12" s="7">
        <v>6.5000000000000002E-2</v>
      </c>
      <c r="L12" s="11">
        <f t="shared" si="0"/>
        <v>0.42334560186539866</v>
      </c>
      <c r="M12" s="10">
        <f t="shared" si="1"/>
        <v>0.19202633504023409</v>
      </c>
      <c r="N12" s="10">
        <f t="shared" si="2"/>
        <v>1.3889122506</v>
      </c>
    </row>
    <row r="13" spans="1:14" hidden="1" x14ac:dyDescent="0.45">
      <c r="A13" s="43">
        <v>0.375</v>
      </c>
      <c r="B13" s="8"/>
      <c r="C13" s="50" t="s">
        <v>16</v>
      </c>
      <c r="D13" s="8">
        <v>30</v>
      </c>
      <c r="E13" s="18" t="str">
        <f t="shared" si="6"/>
        <v>30</v>
      </c>
      <c r="F13" s="8">
        <v>10</v>
      </c>
      <c r="G13" s="34">
        <v>17.100000000000001</v>
      </c>
      <c r="H13" s="9">
        <v>1.85</v>
      </c>
      <c r="I13" s="9">
        <v>0.7</v>
      </c>
      <c r="J13" s="7">
        <v>0.67500000000000004</v>
      </c>
      <c r="K13" s="7">
        <v>7.2999999999999995E-2</v>
      </c>
      <c r="L13" s="11">
        <f t="shared" si="0"/>
        <v>0.47038400207266512</v>
      </c>
      <c r="M13" s="10">
        <f t="shared" si="1"/>
        <v>0.21336259448914896</v>
      </c>
      <c r="N13" s="10">
        <f t="shared" si="2"/>
        <v>1.5432358339999999</v>
      </c>
    </row>
    <row r="14" spans="1:14" hidden="1" x14ac:dyDescent="0.45">
      <c r="A14" s="43">
        <v>0.375</v>
      </c>
      <c r="B14" s="8" t="s">
        <v>9</v>
      </c>
      <c r="C14" s="50" t="s">
        <v>16</v>
      </c>
      <c r="D14" s="8">
        <v>40</v>
      </c>
      <c r="E14" s="18" t="str">
        <f t="shared" ref="E14:E15" si="8">CONCATENATE(B14,C14,D14)</f>
        <v>STD 40</v>
      </c>
      <c r="F14" s="8">
        <v>10</v>
      </c>
      <c r="G14" s="34">
        <v>17.100000000000001</v>
      </c>
      <c r="H14" s="9">
        <v>2.31</v>
      </c>
      <c r="I14" s="9">
        <v>0.84</v>
      </c>
      <c r="J14" s="7">
        <v>0.67500000000000004</v>
      </c>
      <c r="K14" s="7">
        <v>9.0999999999999998E-2</v>
      </c>
      <c r="L14" s="11">
        <f t="shared" si="0"/>
        <v>0.5644608024871981</v>
      </c>
      <c r="M14" s="10">
        <f t="shared" si="1"/>
        <v>0.25603511338697876</v>
      </c>
      <c r="N14" s="10">
        <f t="shared" si="2"/>
        <v>1.8518830007999998</v>
      </c>
    </row>
    <row r="15" spans="1:14" hidden="1" x14ac:dyDescent="0.45">
      <c r="A15" s="43">
        <v>0.375</v>
      </c>
      <c r="B15" s="8" t="s">
        <v>10</v>
      </c>
      <c r="C15" s="50" t="s">
        <v>16</v>
      </c>
      <c r="D15" s="8">
        <v>80</v>
      </c>
      <c r="E15" s="18" t="str">
        <f t="shared" si="8"/>
        <v>XS 80</v>
      </c>
      <c r="F15" s="8">
        <v>10</v>
      </c>
      <c r="G15" s="34">
        <v>17.100000000000001</v>
      </c>
      <c r="H15" s="9">
        <v>3.2</v>
      </c>
      <c r="I15" s="9">
        <v>1.1000000000000001</v>
      </c>
      <c r="J15" s="7">
        <v>0.67500000000000004</v>
      </c>
      <c r="K15" s="7">
        <v>0.126</v>
      </c>
      <c r="L15" s="11">
        <f t="shared" si="0"/>
        <v>0.73917486039990243</v>
      </c>
      <c r="M15" s="10">
        <f t="shared" si="1"/>
        <v>0.33528407705437702</v>
      </c>
      <c r="N15" s="10">
        <f t="shared" si="2"/>
        <v>2.4250848820000002</v>
      </c>
    </row>
    <row r="16" spans="1:14" hidden="1" x14ac:dyDescent="0.45">
      <c r="A16" s="43">
        <v>0.5</v>
      </c>
      <c r="B16" s="8"/>
      <c r="C16" s="50" t="s">
        <v>16</v>
      </c>
      <c r="D16" s="8">
        <v>5</v>
      </c>
      <c r="E16" s="18" t="str">
        <f t="shared" si="6"/>
        <v>5</v>
      </c>
      <c r="F16" s="8">
        <v>15</v>
      </c>
      <c r="G16" s="34">
        <v>21.3</v>
      </c>
      <c r="H16" s="9">
        <v>1.65</v>
      </c>
      <c r="I16" s="9">
        <v>0.8</v>
      </c>
      <c r="J16" s="7">
        <v>0.84</v>
      </c>
      <c r="K16" s="7">
        <v>6.5000000000000002E-2</v>
      </c>
      <c r="L16" s="11">
        <f t="shared" si="0"/>
        <v>0.53758171665447452</v>
      </c>
      <c r="M16" s="10">
        <f t="shared" si="1"/>
        <v>0.24384296513045597</v>
      </c>
      <c r="N16" s="10">
        <f t="shared" si="2"/>
        <v>1.7636980959999999</v>
      </c>
    </row>
    <row r="17" spans="1:14" hidden="1" x14ac:dyDescent="0.45">
      <c r="A17" s="43">
        <v>0.5</v>
      </c>
      <c r="B17" s="8"/>
      <c r="C17" s="50" t="s">
        <v>16</v>
      </c>
      <c r="D17" s="8">
        <v>10</v>
      </c>
      <c r="E17" s="18" t="str">
        <f t="shared" si="6"/>
        <v>10</v>
      </c>
      <c r="F17" s="8">
        <v>15</v>
      </c>
      <c r="G17" s="34">
        <v>21.3</v>
      </c>
      <c r="H17" s="9">
        <v>2.11</v>
      </c>
      <c r="I17" s="9">
        <v>1</v>
      </c>
      <c r="J17" s="7">
        <v>0.84</v>
      </c>
      <c r="K17" s="7">
        <v>8.3000000000000004E-2</v>
      </c>
      <c r="L17" s="11">
        <f t="shared" si="0"/>
        <v>0.67197714581809309</v>
      </c>
      <c r="M17" s="10">
        <f t="shared" si="1"/>
        <v>0.30480370641306997</v>
      </c>
      <c r="N17" s="10">
        <f t="shared" si="2"/>
        <v>2.2046226199999999</v>
      </c>
    </row>
    <row r="18" spans="1:14" hidden="1" x14ac:dyDescent="0.45">
      <c r="A18" s="43">
        <v>0.5</v>
      </c>
      <c r="B18" s="8"/>
      <c r="C18" s="50" t="s">
        <v>16</v>
      </c>
      <c r="D18" s="8">
        <v>30</v>
      </c>
      <c r="E18" s="18" t="str">
        <f t="shared" si="6"/>
        <v>30</v>
      </c>
      <c r="F18" s="8">
        <v>15</v>
      </c>
      <c r="G18" s="34">
        <v>21.3</v>
      </c>
      <c r="H18" s="9">
        <v>2.41</v>
      </c>
      <c r="I18" s="9">
        <v>1.1200000000000001</v>
      </c>
      <c r="J18" s="7">
        <v>0.84</v>
      </c>
      <c r="K18" s="7">
        <v>9.5000000000000001E-2</v>
      </c>
      <c r="L18" s="11">
        <f t="shared" si="0"/>
        <v>0.75261440331626428</v>
      </c>
      <c r="M18" s="10">
        <f t="shared" si="1"/>
        <v>0.34138015118263837</v>
      </c>
      <c r="N18" s="10">
        <f t="shared" si="2"/>
        <v>2.4691773343999999</v>
      </c>
    </row>
    <row r="19" spans="1:14" hidden="1" x14ac:dyDescent="0.45">
      <c r="A19" s="43">
        <v>0.5</v>
      </c>
      <c r="B19" s="8" t="s">
        <v>9</v>
      </c>
      <c r="C19" s="50" t="s">
        <v>16</v>
      </c>
      <c r="D19" s="8">
        <v>40</v>
      </c>
      <c r="E19" s="18" t="str">
        <f t="shared" ref="E19:E21" si="9">CONCATENATE(B19,C19,D19)</f>
        <v>STD 40</v>
      </c>
      <c r="F19" s="8">
        <v>15</v>
      </c>
      <c r="G19" s="34">
        <v>21.3</v>
      </c>
      <c r="H19" s="9">
        <v>2.77</v>
      </c>
      <c r="I19" s="9">
        <v>1.27</v>
      </c>
      <c r="J19" s="7">
        <v>0.84</v>
      </c>
      <c r="K19" s="7">
        <v>0.109</v>
      </c>
      <c r="L19" s="11">
        <f t="shared" si="0"/>
        <v>0.85341097518897813</v>
      </c>
      <c r="M19" s="10">
        <f t="shared" si="1"/>
        <v>0.38710070714459888</v>
      </c>
      <c r="N19" s="10">
        <f t="shared" si="2"/>
        <v>2.7998707273999996</v>
      </c>
    </row>
    <row r="20" spans="1:14" hidden="1" x14ac:dyDescent="0.45">
      <c r="A20" s="43">
        <v>0.5</v>
      </c>
      <c r="B20" s="8" t="s">
        <v>10</v>
      </c>
      <c r="C20" s="50" t="s">
        <v>16</v>
      </c>
      <c r="D20" s="8">
        <v>80</v>
      </c>
      <c r="E20" s="18" t="str">
        <f t="shared" si="9"/>
        <v>XS 80</v>
      </c>
      <c r="F20" s="8">
        <v>15</v>
      </c>
      <c r="G20" s="34">
        <v>21.3</v>
      </c>
      <c r="H20" s="9">
        <v>3.73</v>
      </c>
      <c r="I20" s="9">
        <v>1.62</v>
      </c>
      <c r="J20" s="7">
        <v>0.84</v>
      </c>
      <c r="K20" s="7">
        <v>0.14699999999999999</v>
      </c>
      <c r="L20" s="11">
        <f t="shared" si="0"/>
        <v>1.0886029762253109</v>
      </c>
      <c r="M20" s="10">
        <f t="shared" si="1"/>
        <v>0.49378200438917336</v>
      </c>
      <c r="N20" s="10">
        <f t="shared" si="2"/>
        <v>3.5714886444</v>
      </c>
    </row>
    <row r="21" spans="1:14" hidden="1" x14ac:dyDescent="0.45">
      <c r="A21" s="43">
        <v>0.5</v>
      </c>
      <c r="B21" s="8"/>
      <c r="C21" s="50" t="s">
        <v>16</v>
      </c>
      <c r="D21" s="8">
        <v>160</v>
      </c>
      <c r="E21" s="18" t="str">
        <f t="shared" si="9"/>
        <v xml:space="preserve"> 160</v>
      </c>
      <c r="F21" s="8">
        <v>15</v>
      </c>
      <c r="G21" s="34">
        <v>21.3</v>
      </c>
      <c r="H21" s="9">
        <v>4.78</v>
      </c>
      <c r="I21" s="9">
        <v>1.95</v>
      </c>
      <c r="J21" s="7">
        <v>0.84</v>
      </c>
      <c r="K21" s="7">
        <v>0.188</v>
      </c>
      <c r="L21" s="11">
        <f t="shared" si="0"/>
        <v>1.3103554343452815</v>
      </c>
      <c r="M21" s="10">
        <f t="shared" si="1"/>
        <v>0.59436722750548643</v>
      </c>
      <c r="N21" s="10">
        <f t="shared" si="2"/>
        <v>4.2990141089999998</v>
      </c>
    </row>
    <row r="22" spans="1:14" hidden="1" x14ac:dyDescent="0.45">
      <c r="A22" s="43">
        <v>0.5</v>
      </c>
      <c r="B22" s="8" t="s">
        <v>11</v>
      </c>
      <c r="C22" s="50" t="s">
        <v>16</v>
      </c>
      <c r="D22" s="8"/>
      <c r="E22" s="18" t="str">
        <f t="shared" si="6"/>
        <v>XXS</v>
      </c>
      <c r="F22" s="8">
        <v>15</v>
      </c>
      <c r="G22" s="34">
        <v>21.3</v>
      </c>
      <c r="H22" s="9">
        <v>7.47</v>
      </c>
      <c r="I22" s="9">
        <v>2.5499999999999998</v>
      </c>
      <c r="J22" s="7">
        <v>0.84</v>
      </c>
      <c r="K22" s="7">
        <v>0.29399999999999998</v>
      </c>
      <c r="L22" s="11">
        <f t="shared" si="0"/>
        <v>1.7135417218361371</v>
      </c>
      <c r="M22" s="10">
        <f t="shared" si="1"/>
        <v>0.77724945135332835</v>
      </c>
      <c r="N22" s="10">
        <f t="shared" si="2"/>
        <v>5.6217876809999989</v>
      </c>
    </row>
    <row r="23" spans="1:14" hidden="1" x14ac:dyDescent="0.45">
      <c r="A23" s="43">
        <v>0.75</v>
      </c>
      <c r="B23" s="8"/>
      <c r="C23" s="50" t="s">
        <v>16</v>
      </c>
      <c r="D23" s="8">
        <v>5</v>
      </c>
      <c r="E23" s="18" t="str">
        <f t="shared" si="6"/>
        <v>5</v>
      </c>
      <c r="F23" s="8">
        <v>20</v>
      </c>
      <c r="G23" s="34">
        <v>26.7</v>
      </c>
      <c r="H23" s="9">
        <v>1.65</v>
      </c>
      <c r="I23" s="9">
        <v>1.03</v>
      </c>
      <c r="J23" s="7">
        <v>1.05</v>
      </c>
      <c r="K23" s="7">
        <v>6.5000000000000002E-2</v>
      </c>
      <c r="L23" s="11">
        <f t="shared" si="0"/>
        <v>0.69213646019263597</v>
      </c>
      <c r="M23" s="10">
        <f t="shared" si="1"/>
        <v>0.31394781760546209</v>
      </c>
      <c r="N23" s="10">
        <f t="shared" si="2"/>
        <v>2.2707612986000001</v>
      </c>
    </row>
    <row r="24" spans="1:14" hidden="1" x14ac:dyDescent="0.45">
      <c r="A24" s="43">
        <v>0.75</v>
      </c>
      <c r="B24" s="8"/>
      <c r="C24" s="50" t="s">
        <v>16</v>
      </c>
      <c r="D24" s="8">
        <v>10</v>
      </c>
      <c r="E24" s="18" t="str">
        <f t="shared" si="6"/>
        <v>10</v>
      </c>
      <c r="F24" s="8">
        <v>20</v>
      </c>
      <c r="G24" s="34">
        <v>26.7</v>
      </c>
      <c r="H24" s="9">
        <v>2.11</v>
      </c>
      <c r="I24" s="9">
        <v>1.28</v>
      </c>
      <c r="J24" s="7">
        <v>1.05</v>
      </c>
      <c r="K24" s="7">
        <v>8.3000000000000004E-2</v>
      </c>
      <c r="L24" s="11">
        <f t="shared" si="0"/>
        <v>0.86013074664715905</v>
      </c>
      <c r="M24" s="10">
        <f t="shared" si="1"/>
        <v>0.39014874420872958</v>
      </c>
      <c r="N24" s="10">
        <f t="shared" si="2"/>
        <v>2.8219169535999997</v>
      </c>
    </row>
    <row r="25" spans="1:14" hidden="1" x14ac:dyDescent="0.45">
      <c r="A25" s="43">
        <v>0.75</v>
      </c>
      <c r="B25" s="8"/>
      <c r="C25" s="50" t="s">
        <v>16</v>
      </c>
      <c r="D25" s="8">
        <v>30</v>
      </c>
      <c r="E25" s="18" t="str">
        <f t="shared" si="6"/>
        <v>30</v>
      </c>
      <c r="F25" s="8">
        <v>20</v>
      </c>
      <c r="G25" s="34">
        <v>26.7</v>
      </c>
      <c r="H25" s="9">
        <v>2.41</v>
      </c>
      <c r="I25" s="9">
        <v>1.44</v>
      </c>
      <c r="J25" s="7">
        <v>1.05</v>
      </c>
      <c r="K25" s="7">
        <v>9.5000000000000001E-2</v>
      </c>
      <c r="L25" s="11">
        <f t="shared" si="0"/>
        <v>0.96764708997805393</v>
      </c>
      <c r="M25" s="10">
        <f t="shared" si="1"/>
        <v>0.43891733723482074</v>
      </c>
      <c r="N25" s="10">
        <f t="shared" si="2"/>
        <v>3.1746565727999996</v>
      </c>
    </row>
    <row r="26" spans="1:14" hidden="1" x14ac:dyDescent="0.45">
      <c r="A26" s="43">
        <v>0.75</v>
      </c>
      <c r="B26" s="8" t="s">
        <v>9</v>
      </c>
      <c r="C26" s="50" t="s">
        <v>16</v>
      </c>
      <c r="D26" s="8">
        <v>40</v>
      </c>
      <c r="E26" s="18" t="str">
        <f t="shared" ref="E26:E27" si="10">CONCATENATE(B26,C26,D26)</f>
        <v>STD 40</v>
      </c>
      <c r="F26" s="8">
        <v>20</v>
      </c>
      <c r="G26" s="34">
        <v>26.7</v>
      </c>
      <c r="H26" s="9">
        <v>2.87</v>
      </c>
      <c r="I26" s="9">
        <v>1.69</v>
      </c>
      <c r="J26" s="7">
        <v>1.05</v>
      </c>
      <c r="K26" s="7">
        <v>0.113</v>
      </c>
      <c r="L26" s="11">
        <f t="shared" si="0"/>
        <v>1.1356413764325772</v>
      </c>
      <c r="M26" s="10">
        <f t="shared" si="1"/>
        <v>0.51511826383808823</v>
      </c>
      <c r="N26" s="10">
        <f t="shared" si="2"/>
        <v>3.7258122277999997</v>
      </c>
    </row>
    <row r="27" spans="1:14" hidden="1" x14ac:dyDescent="0.45">
      <c r="A27" s="43">
        <v>0.75</v>
      </c>
      <c r="B27" s="8" t="s">
        <v>10</v>
      </c>
      <c r="C27" s="50" t="s">
        <v>16</v>
      </c>
      <c r="D27" s="8">
        <v>80</v>
      </c>
      <c r="E27" s="18" t="str">
        <f t="shared" si="10"/>
        <v>XS 80</v>
      </c>
      <c r="F27" s="8">
        <v>20</v>
      </c>
      <c r="G27" s="34">
        <v>26.7</v>
      </c>
      <c r="H27" s="9">
        <v>3.91</v>
      </c>
      <c r="I27" s="9">
        <v>2.2000000000000002</v>
      </c>
      <c r="J27" s="7">
        <v>1.05</v>
      </c>
      <c r="K27" s="7">
        <v>0.154</v>
      </c>
      <c r="L27" s="11">
        <f t="shared" si="0"/>
        <v>1.4783497207998049</v>
      </c>
      <c r="M27" s="10">
        <f t="shared" si="1"/>
        <v>0.67056815410875403</v>
      </c>
      <c r="N27" s="10">
        <f t="shared" si="2"/>
        <v>4.8501697640000003</v>
      </c>
    </row>
    <row r="28" spans="1:14" hidden="1" x14ac:dyDescent="0.45">
      <c r="A28" s="43">
        <v>0.75</v>
      </c>
      <c r="B28" s="8"/>
      <c r="C28" s="50" t="s">
        <v>16</v>
      </c>
      <c r="D28" s="8">
        <v>160</v>
      </c>
      <c r="E28" s="18" t="str">
        <f t="shared" si="6"/>
        <v>160</v>
      </c>
      <c r="F28" s="8">
        <v>20</v>
      </c>
      <c r="G28" s="34">
        <v>26.7</v>
      </c>
      <c r="H28" s="9">
        <v>5.56</v>
      </c>
      <c r="I28" s="9">
        <v>2.9</v>
      </c>
      <c r="J28" s="7">
        <v>1.05</v>
      </c>
      <c r="K28" s="7">
        <v>0.219</v>
      </c>
      <c r="L28" s="11">
        <f t="shared" si="0"/>
        <v>1.9487337228724699</v>
      </c>
      <c r="M28" s="10">
        <f t="shared" si="1"/>
        <v>0.88393074859790288</v>
      </c>
      <c r="N28" s="10">
        <f t="shared" si="2"/>
        <v>6.3934055979999993</v>
      </c>
    </row>
    <row r="29" spans="1:14" hidden="1" x14ac:dyDescent="0.45">
      <c r="A29" s="43">
        <v>0.75</v>
      </c>
      <c r="B29" s="8" t="s">
        <v>11</v>
      </c>
      <c r="C29" s="50" t="s">
        <v>16</v>
      </c>
      <c r="D29" s="8"/>
      <c r="E29" s="18" t="str">
        <f t="shared" si="6"/>
        <v>XXS</v>
      </c>
      <c r="F29" s="8">
        <v>20</v>
      </c>
      <c r="G29" s="34">
        <v>26.7</v>
      </c>
      <c r="H29" s="9">
        <v>7.82</v>
      </c>
      <c r="I29" s="9">
        <v>3.64</v>
      </c>
      <c r="J29" s="7">
        <v>1.05</v>
      </c>
      <c r="K29" s="7">
        <v>0.308</v>
      </c>
      <c r="L29" s="11">
        <f t="shared" si="0"/>
        <v>2.4459968107778591</v>
      </c>
      <c r="M29" s="10">
        <f t="shared" si="1"/>
        <v>1.1094854913435748</v>
      </c>
      <c r="N29" s="10">
        <f t="shared" si="2"/>
        <v>8.0248263368000003</v>
      </c>
    </row>
    <row r="30" spans="1:14" hidden="1" x14ac:dyDescent="0.45">
      <c r="A30" s="43">
        <v>1</v>
      </c>
      <c r="B30" s="8"/>
      <c r="C30" s="50" t="s">
        <v>16</v>
      </c>
      <c r="D30" s="8">
        <v>5</v>
      </c>
      <c r="E30" s="18" t="str">
        <f t="shared" si="6"/>
        <v>5</v>
      </c>
      <c r="F30" s="8">
        <v>25</v>
      </c>
      <c r="G30" s="34">
        <v>33.4</v>
      </c>
      <c r="H30" s="9">
        <v>1.65</v>
      </c>
      <c r="I30" s="9">
        <v>1.29</v>
      </c>
      <c r="J30" s="7">
        <v>1.3149999999999999</v>
      </c>
      <c r="K30" s="7">
        <v>6.5000000000000002E-2</v>
      </c>
      <c r="L30" s="11">
        <f t="shared" si="0"/>
        <v>0.86685051810534008</v>
      </c>
      <c r="M30" s="10">
        <f t="shared" si="1"/>
        <v>0.39319678127286029</v>
      </c>
      <c r="N30" s="10">
        <f t="shared" si="2"/>
        <v>2.8439631797999998</v>
      </c>
    </row>
    <row r="31" spans="1:14" hidden="1" x14ac:dyDescent="0.45">
      <c r="A31" s="44">
        <v>1</v>
      </c>
      <c r="B31" s="8"/>
      <c r="C31" s="50" t="s">
        <v>16</v>
      </c>
      <c r="D31" s="8">
        <v>10</v>
      </c>
      <c r="E31" s="18" t="str">
        <f t="shared" si="6"/>
        <v>10</v>
      </c>
      <c r="F31" s="8">
        <v>25</v>
      </c>
      <c r="G31" s="34">
        <v>33.4</v>
      </c>
      <c r="H31" s="9">
        <v>2.77</v>
      </c>
      <c r="I31" s="9">
        <v>2.09</v>
      </c>
      <c r="J31" s="7">
        <v>1.3149999999999999</v>
      </c>
      <c r="K31" s="7">
        <v>0.109</v>
      </c>
      <c r="L31" s="11">
        <f t="shared" si="0"/>
        <v>1.4044322347598144</v>
      </c>
      <c r="M31" s="10">
        <f t="shared" si="1"/>
        <v>0.63703974640331618</v>
      </c>
      <c r="N31" s="10">
        <f t="shared" si="2"/>
        <v>4.6076612757999991</v>
      </c>
    </row>
    <row r="32" spans="1:14" hidden="1" x14ac:dyDescent="0.45">
      <c r="A32" s="44">
        <v>1</v>
      </c>
      <c r="B32" s="8"/>
      <c r="C32" s="50" t="s">
        <v>16</v>
      </c>
      <c r="D32" s="8">
        <v>30</v>
      </c>
      <c r="E32" s="18" t="str">
        <f t="shared" si="6"/>
        <v>30</v>
      </c>
      <c r="F32" s="8">
        <v>25</v>
      </c>
      <c r="G32" s="34">
        <v>33.4</v>
      </c>
      <c r="H32" s="9">
        <v>2.9</v>
      </c>
      <c r="I32" s="9">
        <v>2.1800000000000002</v>
      </c>
      <c r="J32" s="7">
        <v>1.3149999999999999</v>
      </c>
      <c r="K32" s="7">
        <v>0.114</v>
      </c>
      <c r="L32" s="11">
        <f t="shared" si="0"/>
        <v>1.464910177883443</v>
      </c>
      <c r="M32" s="10">
        <f t="shared" si="1"/>
        <v>0.66447207998049262</v>
      </c>
      <c r="N32" s="10">
        <f t="shared" si="2"/>
        <v>4.8060773116000002</v>
      </c>
    </row>
    <row r="33" spans="1:14" hidden="1" x14ac:dyDescent="0.45">
      <c r="A33" s="44">
        <v>1</v>
      </c>
      <c r="B33" s="8" t="s">
        <v>9</v>
      </c>
      <c r="C33" s="50" t="s">
        <v>16</v>
      </c>
      <c r="D33" s="8">
        <v>40</v>
      </c>
      <c r="E33" s="18" t="str">
        <f t="shared" ref="E33:E34" si="11">CONCATENATE(B33,C33,D33)</f>
        <v>STD 40</v>
      </c>
      <c r="F33" s="8">
        <v>25</v>
      </c>
      <c r="G33" s="34">
        <v>33.4</v>
      </c>
      <c r="H33" s="9">
        <v>3.38</v>
      </c>
      <c r="I33" s="9">
        <v>2.5</v>
      </c>
      <c r="J33" s="7">
        <v>1.3149999999999999</v>
      </c>
      <c r="K33" s="7">
        <v>0.13300000000000001</v>
      </c>
      <c r="L33" s="11">
        <f t="shared" si="0"/>
        <v>1.6799428645452328</v>
      </c>
      <c r="M33" s="10">
        <f t="shared" si="1"/>
        <v>0.76200926603267494</v>
      </c>
      <c r="N33" s="10">
        <f t="shared" si="2"/>
        <v>5.5115565499999999</v>
      </c>
    </row>
    <row r="34" spans="1:14" hidden="1" x14ac:dyDescent="0.45">
      <c r="A34" s="44">
        <v>1</v>
      </c>
      <c r="B34" s="8" t="s">
        <v>10</v>
      </c>
      <c r="C34" s="50" t="s">
        <v>16</v>
      </c>
      <c r="D34" s="8">
        <v>80</v>
      </c>
      <c r="E34" s="18" t="str">
        <f t="shared" si="11"/>
        <v>XS 80</v>
      </c>
      <c r="F34" s="8">
        <v>25</v>
      </c>
      <c r="G34" s="34">
        <v>33.4</v>
      </c>
      <c r="H34" s="9">
        <v>4.55</v>
      </c>
      <c r="I34" s="9">
        <v>3.24</v>
      </c>
      <c r="J34" s="7">
        <v>1.3149999999999999</v>
      </c>
      <c r="K34" s="7">
        <v>0.17899999999999999</v>
      </c>
      <c r="L34" s="11">
        <f t="shared" si="0"/>
        <v>2.1772059524506218</v>
      </c>
      <c r="M34" s="10">
        <f t="shared" si="1"/>
        <v>0.98756400877834671</v>
      </c>
      <c r="N34" s="10">
        <f t="shared" si="2"/>
        <v>7.1429772888</v>
      </c>
    </row>
    <row r="35" spans="1:14" hidden="1" x14ac:dyDescent="0.45">
      <c r="A35" s="44">
        <v>1</v>
      </c>
      <c r="B35" s="8"/>
      <c r="C35" s="50" t="s">
        <v>16</v>
      </c>
      <c r="D35" s="8">
        <v>160</v>
      </c>
      <c r="E35" s="18" t="str">
        <f t="shared" si="6"/>
        <v>160</v>
      </c>
      <c r="F35" s="8">
        <v>25</v>
      </c>
      <c r="G35" s="34">
        <v>33.4</v>
      </c>
      <c r="H35" s="9">
        <v>6.35</v>
      </c>
      <c r="I35" s="9">
        <v>4.24</v>
      </c>
      <c r="J35" s="7">
        <v>1.3149999999999999</v>
      </c>
      <c r="K35" s="7">
        <v>0.25</v>
      </c>
      <c r="L35" s="11">
        <f t="shared" si="0"/>
        <v>2.8491830982687145</v>
      </c>
      <c r="M35" s="10">
        <f t="shared" si="1"/>
        <v>1.2923677151914168</v>
      </c>
      <c r="N35" s="10">
        <f t="shared" si="2"/>
        <v>9.3475999087999995</v>
      </c>
    </row>
    <row r="36" spans="1:14" hidden="1" x14ac:dyDescent="0.45">
      <c r="A36" s="44">
        <v>1</v>
      </c>
      <c r="B36" s="8" t="s">
        <v>11</v>
      </c>
      <c r="C36" s="50" t="s">
        <v>16</v>
      </c>
      <c r="D36" s="8"/>
      <c r="E36" s="18" t="str">
        <f t="shared" si="6"/>
        <v>XXS</v>
      </c>
      <c r="F36" s="8">
        <v>25</v>
      </c>
      <c r="G36" s="34">
        <v>33.4</v>
      </c>
      <c r="H36" s="9">
        <v>9.09</v>
      </c>
      <c r="I36" s="9">
        <v>5.45</v>
      </c>
      <c r="J36" s="7">
        <v>1.3149999999999999</v>
      </c>
      <c r="K36" s="7">
        <v>0.35799999999999998</v>
      </c>
      <c r="L36" s="11">
        <f t="shared" si="0"/>
        <v>3.6622754447086074</v>
      </c>
      <c r="M36" s="10">
        <f t="shared" si="1"/>
        <v>1.6611801999512315</v>
      </c>
      <c r="N36" s="10">
        <f t="shared" si="2"/>
        <v>12.015193279</v>
      </c>
    </row>
    <row r="37" spans="1:14" hidden="1" x14ac:dyDescent="0.45">
      <c r="A37" s="44">
        <v>1.25</v>
      </c>
      <c r="B37" s="8"/>
      <c r="C37" s="50" t="s">
        <v>16</v>
      </c>
      <c r="D37" s="8">
        <v>5</v>
      </c>
      <c r="E37" s="18" t="str">
        <f t="shared" si="6"/>
        <v>5</v>
      </c>
      <c r="F37" s="8">
        <v>32</v>
      </c>
      <c r="G37" s="34">
        <v>42.2</v>
      </c>
      <c r="H37" s="9">
        <v>1.65</v>
      </c>
      <c r="I37" s="9">
        <v>1.65</v>
      </c>
      <c r="J37" s="7">
        <v>1.66</v>
      </c>
      <c r="K37" s="7">
        <v>6.5000000000000002E-2</v>
      </c>
      <c r="L37" s="11">
        <f t="shared" si="0"/>
        <v>1.1087622905998535</v>
      </c>
      <c r="M37" s="10">
        <f t="shared" si="1"/>
        <v>0.50292611558156541</v>
      </c>
      <c r="N37" s="10">
        <f t="shared" si="2"/>
        <v>3.6376273229999998</v>
      </c>
    </row>
    <row r="38" spans="1:14" hidden="1" x14ac:dyDescent="0.45">
      <c r="A38" s="44">
        <v>1.25</v>
      </c>
      <c r="B38" s="8"/>
      <c r="C38" s="50" t="s">
        <v>16</v>
      </c>
      <c r="D38" s="8">
        <v>10</v>
      </c>
      <c r="E38" s="18" t="str">
        <f t="shared" si="6"/>
        <v>10</v>
      </c>
      <c r="F38" s="8">
        <v>32</v>
      </c>
      <c r="G38" s="34">
        <v>42.2</v>
      </c>
      <c r="H38" s="9">
        <v>2.77</v>
      </c>
      <c r="I38" s="9">
        <v>2.69</v>
      </c>
      <c r="J38" s="7">
        <v>1.66</v>
      </c>
      <c r="K38" s="7">
        <v>0.109</v>
      </c>
      <c r="L38" s="11">
        <f t="shared" si="0"/>
        <v>1.8076185222506704</v>
      </c>
      <c r="M38" s="10">
        <f t="shared" si="1"/>
        <v>0.81992197025115821</v>
      </c>
      <c r="N38" s="10">
        <f t="shared" si="2"/>
        <v>5.9304348478</v>
      </c>
    </row>
    <row r="39" spans="1:14" hidden="1" x14ac:dyDescent="0.45">
      <c r="A39" s="44">
        <v>1.25</v>
      </c>
      <c r="B39" s="8"/>
      <c r="C39" s="50" t="s">
        <v>16</v>
      </c>
      <c r="D39" s="8">
        <v>30</v>
      </c>
      <c r="E39" s="18" t="str">
        <f t="shared" si="6"/>
        <v>30</v>
      </c>
      <c r="F39" s="8">
        <v>32</v>
      </c>
      <c r="G39" s="34">
        <v>42.2</v>
      </c>
      <c r="H39" s="9">
        <v>2.97</v>
      </c>
      <c r="I39" s="9">
        <v>2.87</v>
      </c>
      <c r="J39" s="7">
        <v>1.66</v>
      </c>
      <c r="K39" s="7">
        <v>0.11700000000000001</v>
      </c>
      <c r="L39" s="11">
        <f t="shared" si="0"/>
        <v>1.9285744084979271</v>
      </c>
      <c r="M39" s="10">
        <f t="shared" si="1"/>
        <v>0.87478663740551088</v>
      </c>
      <c r="N39" s="10">
        <f t="shared" si="2"/>
        <v>6.3272669193999995</v>
      </c>
    </row>
    <row r="40" spans="1:14" hidden="1" x14ac:dyDescent="0.45">
      <c r="A40" s="44">
        <v>1.25</v>
      </c>
      <c r="B40" s="8" t="s">
        <v>9</v>
      </c>
      <c r="C40" s="50" t="s">
        <v>16</v>
      </c>
      <c r="D40" s="8">
        <v>40</v>
      </c>
      <c r="E40" s="18" t="str">
        <f t="shared" ref="E40:E41" si="12">CONCATENATE(B40,C40,D40)</f>
        <v>STD 40</v>
      </c>
      <c r="F40" s="8">
        <v>32</v>
      </c>
      <c r="G40" s="34">
        <v>42.2</v>
      </c>
      <c r="H40" s="9">
        <v>3.56</v>
      </c>
      <c r="I40" s="9">
        <v>3.39</v>
      </c>
      <c r="J40" s="7">
        <v>1.66</v>
      </c>
      <c r="K40" s="7">
        <v>0.14000000000000001</v>
      </c>
      <c r="L40" s="11">
        <f t="shared" si="0"/>
        <v>2.2780025243233357</v>
      </c>
      <c r="M40" s="10">
        <f t="shared" si="1"/>
        <v>1.0332845647403073</v>
      </c>
      <c r="N40" s="10">
        <f t="shared" si="2"/>
        <v>7.4736706817999998</v>
      </c>
    </row>
    <row r="41" spans="1:14" hidden="1" x14ac:dyDescent="0.45">
      <c r="A41" s="44">
        <v>1.25</v>
      </c>
      <c r="B41" s="8" t="s">
        <v>10</v>
      </c>
      <c r="C41" s="50" t="s">
        <v>16</v>
      </c>
      <c r="D41" s="8">
        <v>80</v>
      </c>
      <c r="E41" s="18" t="str">
        <f t="shared" si="12"/>
        <v>XS 80</v>
      </c>
      <c r="F41" s="8">
        <v>32</v>
      </c>
      <c r="G41" s="34">
        <v>42.2</v>
      </c>
      <c r="H41" s="9">
        <v>4.8499999999999996</v>
      </c>
      <c r="I41" s="9">
        <v>4.47</v>
      </c>
      <c r="J41" s="7">
        <v>1.66</v>
      </c>
      <c r="K41" s="7">
        <v>0.191</v>
      </c>
      <c r="L41" s="11">
        <f t="shared" si="0"/>
        <v>3.0037378418068759</v>
      </c>
      <c r="M41" s="10">
        <f t="shared" si="1"/>
        <v>1.3624725676664227</v>
      </c>
      <c r="N41" s="10">
        <f t="shared" si="2"/>
        <v>9.854663111399999</v>
      </c>
    </row>
    <row r="42" spans="1:14" hidden="1" x14ac:dyDescent="0.45">
      <c r="A42" s="44">
        <v>1.25</v>
      </c>
      <c r="B42" s="8"/>
      <c r="C42" s="50" t="s">
        <v>16</v>
      </c>
      <c r="D42" s="8">
        <v>160</v>
      </c>
      <c r="E42" s="18" t="str">
        <f t="shared" si="6"/>
        <v>160</v>
      </c>
      <c r="F42" s="8">
        <v>32</v>
      </c>
      <c r="G42" s="34">
        <v>42.2</v>
      </c>
      <c r="H42" s="9">
        <v>6.35</v>
      </c>
      <c r="I42" s="9">
        <v>5.61</v>
      </c>
      <c r="J42" s="7">
        <v>1.66</v>
      </c>
      <c r="K42" s="7">
        <v>0.25</v>
      </c>
      <c r="L42" s="11">
        <f t="shared" si="0"/>
        <v>3.7697917880395022</v>
      </c>
      <c r="M42" s="10">
        <f t="shared" si="1"/>
        <v>1.7099487929773227</v>
      </c>
      <c r="N42" s="10">
        <f t="shared" si="2"/>
        <v>12.367932898199999</v>
      </c>
    </row>
    <row r="43" spans="1:14" hidden="1" x14ac:dyDescent="0.45">
      <c r="A43" s="44">
        <v>1.25</v>
      </c>
      <c r="B43" s="8" t="s">
        <v>11</v>
      </c>
      <c r="C43" s="50" t="s">
        <v>16</v>
      </c>
      <c r="D43" s="8"/>
      <c r="E43" s="18" t="str">
        <f t="shared" si="6"/>
        <v>XXS</v>
      </c>
      <c r="F43" s="8">
        <v>32</v>
      </c>
      <c r="G43" s="34">
        <v>42.2</v>
      </c>
      <c r="H43" s="9">
        <v>9.6999999999999993</v>
      </c>
      <c r="I43" s="9">
        <v>7.77</v>
      </c>
      <c r="J43" s="7">
        <v>1.66</v>
      </c>
      <c r="K43" s="7">
        <v>0.38200000000000001</v>
      </c>
      <c r="L43" s="11">
        <f t="shared" si="0"/>
        <v>5.2212624230065829</v>
      </c>
      <c r="M43" s="10">
        <f t="shared" si="1"/>
        <v>2.3683247988295535</v>
      </c>
      <c r="N43" s="10">
        <f t="shared" si="2"/>
        <v>17.129917757399998</v>
      </c>
    </row>
    <row r="44" spans="1:14" hidden="1" x14ac:dyDescent="0.45">
      <c r="A44" s="44">
        <v>1.5</v>
      </c>
      <c r="B44" s="8"/>
      <c r="C44" s="50" t="s">
        <v>16</v>
      </c>
      <c r="D44" s="8">
        <v>5</v>
      </c>
      <c r="E44" s="18" t="str">
        <f t="shared" si="6"/>
        <v>5</v>
      </c>
      <c r="F44" s="8">
        <v>40</v>
      </c>
      <c r="G44" s="34">
        <v>48.3</v>
      </c>
      <c r="H44" s="9">
        <v>1.65</v>
      </c>
      <c r="I44" s="9">
        <v>1.9</v>
      </c>
      <c r="J44" s="7">
        <v>1.9</v>
      </c>
      <c r="K44" s="7">
        <v>6.5000000000000002E-2</v>
      </c>
      <c r="L44" s="11">
        <f t="shared" si="0"/>
        <v>1.276756577054377</v>
      </c>
      <c r="M44" s="10">
        <f t="shared" si="1"/>
        <v>0.57912704218483291</v>
      </c>
      <c r="N44" s="10">
        <f t="shared" si="2"/>
        <v>4.1887829779999999</v>
      </c>
    </row>
    <row r="45" spans="1:14" hidden="1" x14ac:dyDescent="0.45">
      <c r="A45" s="44">
        <v>1.5</v>
      </c>
      <c r="B45" s="8"/>
      <c r="C45" s="50" t="s">
        <v>16</v>
      </c>
      <c r="D45" s="8">
        <v>10</v>
      </c>
      <c r="E45" s="18" t="str">
        <f t="shared" si="6"/>
        <v>10</v>
      </c>
      <c r="F45" s="8">
        <v>40</v>
      </c>
      <c r="G45" s="34">
        <v>48.3</v>
      </c>
      <c r="H45" s="9">
        <v>2.77</v>
      </c>
      <c r="I45" s="9">
        <v>3.11</v>
      </c>
      <c r="J45" s="7">
        <v>1.9</v>
      </c>
      <c r="K45" s="7">
        <v>0.109</v>
      </c>
      <c r="L45" s="11">
        <f t="shared" si="0"/>
        <v>2.0898489234942694</v>
      </c>
      <c r="M45" s="10">
        <f t="shared" si="1"/>
        <v>0.94793952694464756</v>
      </c>
      <c r="N45" s="10">
        <f t="shared" si="2"/>
        <v>6.8563763481999995</v>
      </c>
    </row>
    <row r="46" spans="1:14" hidden="1" x14ac:dyDescent="0.45">
      <c r="A46" s="44">
        <v>1.5</v>
      </c>
      <c r="B46" s="8"/>
      <c r="C46" s="50" t="s">
        <v>16</v>
      </c>
      <c r="D46" s="8">
        <v>30</v>
      </c>
      <c r="E46" s="18" t="str">
        <f t="shared" si="6"/>
        <v>30</v>
      </c>
      <c r="F46" s="8">
        <v>40</v>
      </c>
      <c r="G46" s="34">
        <v>48.3</v>
      </c>
      <c r="H46" s="9">
        <v>3.18</v>
      </c>
      <c r="I46" s="9">
        <v>3.53</v>
      </c>
      <c r="J46" s="7">
        <v>1.9</v>
      </c>
      <c r="K46" s="7">
        <v>0.125</v>
      </c>
      <c r="L46" s="11">
        <f t="shared" si="0"/>
        <v>2.3720793247378684</v>
      </c>
      <c r="M46" s="10">
        <f t="shared" si="1"/>
        <v>1.0759570836381369</v>
      </c>
      <c r="N46" s="10">
        <f t="shared" si="2"/>
        <v>7.7823178485999991</v>
      </c>
    </row>
    <row r="47" spans="1:14" hidden="1" x14ac:dyDescent="0.45">
      <c r="A47" s="44">
        <v>1.5</v>
      </c>
      <c r="B47" s="8" t="s">
        <v>9</v>
      </c>
      <c r="C47" s="50" t="s">
        <v>16</v>
      </c>
      <c r="D47" s="8">
        <v>40</v>
      </c>
      <c r="E47" s="18" t="str">
        <f t="shared" ref="E47:E48" si="13">CONCATENATE(B47,C47,D47)</f>
        <v>STD 40</v>
      </c>
      <c r="F47" s="8">
        <v>40</v>
      </c>
      <c r="G47" s="34">
        <v>48.3</v>
      </c>
      <c r="H47" s="9">
        <v>3.68</v>
      </c>
      <c r="I47" s="9">
        <v>4.05</v>
      </c>
      <c r="J47" s="7">
        <v>1.9</v>
      </c>
      <c r="K47" s="7">
        <v>0.14499999999999999</v>
      </c>
      <c r="L47" s="11">
        <f t="shared" si="0"/>
        <v>2.7215074405632769</v>
      </c>
      <c r="M47" s="10">
        <f t="shared" si="1"/>
        <v>1.2344550109729333</v>
      </c>
      <c r="N47" s="10">
        <f t="shared" si="2"/>
        <v>8.9287216109999985</v>
      </c>
    </row>
    <row r="48" spans="1:14" hidden="1" x14ac:dyDescent="0.45">
      <c r="A48" s="44">
        <v>1.5</v>
      </c>
      <c r="B48" s="8" t="s">
        <v>10</v>
      </c>
      <c r="C48" s="50" t="s">
        <v>16</v>
      </c>
      <c r="D48" s="8">
        <v>80</v>
      </c>
      <c r="E48" s="18" t="str">
        <f t="shared" si="13"/>
        <v>XS 80</v>
      </c>
      <c r="F48" s="8">
        <v>40</v>
      </c>
      <c r="G48" s="34">
        <v>48.3</v>
      </c>
      <c r="H48" s="9">
        <v>5.08</v>
      </c>
      <c r="I48" s="9">
        <v>5.41</v>
      </c>
      <c r="J48" s="7">
        <v>1.9</v>
      </c>
      <c r="K48" s="7">
        <v>0.2</v>
      </c>
      <c r="L48" s="11">
        <f t="shared" si="0"/>
        <v>3.6353963588758837</v>
      </c>
      <c r="M48" s="10">
        <f t="shared" si="1"/>
        <v>1.6489880516947086</v>
      </c>
      <c r="N48" s="10">
        <f t="shared" si="2"/>
        <v>11.9270083742</v>
      </c>
    </row>
    <row r="49" spans="1:14" hidden="1" x14ac:dyDescent="0.45">
      <c r="A49" s="44">
        <v>1.5</v>
      </c>
      <c r="B49" s="8"/>
      <c r="C49" s="50" t="s">
        <v>16</v>
      </c>
      <c r="D49" s="8">
        <v>160</v>
      </c>
      <c r="E49" s="18" t="str">
        <f t="shared" si="6"/>
        <v>160</v>
      </c>
      <c r="F49" s="8">
        <v>40</v>
      </c>
      <c r="G49" s="34">
        <v>48.3</v>
      </c>
      <c r="H49" s="9">
        <v>7.14</v>
      </c>
      <c r="I49" s="9">
        <v>7.25</v>
      </c>
      <c r="J49" s="7">
        <v>1.9</v>
      </c>
      <c r="K49" s="7">
        <v>0.28100000000000003</v>
      </c>
      <c r="L49" s="11">
        <f t="shared" si="0"/>
        <v>4.8718343071811745</v>
      </c>
      <c r="M49" s="10">
        <f t="shared" si="1"/>
        <v>2.2098268714947573</v>
      </c>
      <c r="N49" s="10">
        <f t="shared" si="2"/>
        <v>15.983513994999999</v>
      </c>
    </row>
    <row r="50" spans="1:14" hidden="1" x14ac:dyDescent="0.45">
      <c r="A50" s="44">
        <v>1.5</v>
      </c>
      <c r="B50" s="8" t="s">
        <v>11</v>
      </c>
      <c r="C50" s="50" t="s">
        <v>16</v>
      </c>
      <c r="D50" s="8"/>
      <c r="E50" s="18" t="str">
        <f t="shared" si="6"/>
        <v>XXS</v>
      </c>
      <c r="F50" s="8">
        <v>40</v>
      </c>
      <c r="G50" s="34">
        <v>48.3</v>
      </c>
      <c r="H50" s="9">
        <v>10.15</v>
      </c>
      <c r="I50" s="9">
        <v>9.5500000000000007</v>
      </c>
      <c r="J50" s="7">
        <v>1.9</v>
      </c>
      <c r="K50" s="7">
        <v>0.4</v>
      </c>
      <c r="L50" s="11">
        <f t="shared" si="0"/>
        <v>6.4173817425627897</v>
      </c>
      <c r="M50" s="10">
        <f t="shared" si="1"/>
        <v>2.9108753962448186</v>
      </c>
      <c r="N50" s="10">
        <f t="shared" si="2"/>
        <v>21.054146021000001</v>
      </c>
    </row>
    <row r="51" spans="1:14" hidden="1" x14ac:dyDescent="0.45">
      <c r="A51" s="44">
        <v>2</v>
      </c>
      <c r="B51" s="8"/>
      <c r="C51" s="50" t="s">
        <v>16</v>
      </c>
      <c r="D51" s="8">
        <v>5</v>
      </c>
      <c r="E51" s="18" t="str">
        <f t="shared" si="6"/>
        <v>5</v>
      </c>
      <c r="F51" s="8">
        <v>50</v>
      </c>
      <c r="G51" s="34">
        <v>60.3</v>
      </c>
      <c r="H51" s="9">
        <v>1.65</v>
      </c>
      <c r="I51" s="9">
        <v>2.39</v>
      </c>
      <c r="J51" s="7">
        <v>2.375</v>
      </c>
      <c r="K51" s="7">
        <v>6.5000000000000002E-2</v>
      </c>
      <c r="L51" s="11">
        <f t="shared" si="0"/>
        <v>1.6060253785052423</v>
      </c>
      <c r="M51" s="10">
        <f t="shared" si="1"/>
        <v>0.7284808583272373</v>
      </c>
      <c r="N51" s="10">
        <f t="shared" si="2"/>
        <v>5.2690480617999995</v>
      </c>
    </row>
    <row r="52" spans="1:14" hidden="1" x14ac:dyDescent="0.45">
      <c r="A52" s="44">
        <v>2</v>
      </c>
      <c r="B52" s="8"/>
      <c r="C52" s="50" t="s">
        <v>16</v>
      </c>
      <c r="D52" s="8">
        <v>10</v>
      </c>
      <c r="E52" s="18" t="str">
        <f>CONCATENATE(B52,D52)</f>
        <v>10</v>
      </c>
      <c r="F52" s="8">
        <v>50</v>
      </c>
      <c r="G52" s="34">
        <v>60.3</v>
      </c>
      <c r="H52" s="9">
        <v>2.77</v>
      </c>
      <c r="I52" s="9">
        <v>3.93</v>
      </c>
      <c r="J52" s="7">
        <v>2.375</v>
      </c>
      <c r="K52" s="7">
        <v>0.109</v>
      </c>
      <c r="L52" s="11">
        <f t="shared" si="0"/>
        <v>2.6408701830651058</v>
      </c>
      <c r="M52" s="10">
        <f t="shared" si="1"/>
        <v>1.1978785662033651</v>
      </c>
      <c r="N52" s="10">
        <f t="shared" si="2"/>
        <v>8.6641668965999994</v>
      </c>
    </row>
    <row r="53" spans="1:14" hidden="1" x14ac:dyDescent="0.45">
      <c r="A53" s="44">
        <v>2</v>
      </c>
      <c r="B53" s="8"/>
      <c r="C53" s="50" t="s">
        <v>16</v>
      </c>
      <c r="D53" s="8">
        <v>30</v>
      </c>
      <c r="E53" s="18" t="str">
        <f t="shared" ref="E53" si="14">CONCATENATE(B53,D53)</f>
        <v>30</v>
      </c>
      <c r="F53" s="8">
        <v>50</v>
      </c>
      <c r="G53" s="34">
        <v>60.3</v>
      </c>
      <c r="H53" s="9">
        <v>3.18</v>
      </c>
      <c r="I53" s="9">
        <v>4.4800000000000004</v>
      </c>
      <c r="J53" s="7">
        <v>2.375</v>
      </c>
      <c r="K53" s="7">
        <v>0.125</v>
      </c>
      <c r="L53" s="11">
        <f t="shared" si="0"/>
        <v>3.0104576132650571</v>
      </c>
      <c r="M53" s="10">
        <f t="shared" si="1"/>
        <v>1.3655206047305535</v>
      </c>
      <c r="N53" s="10">
        <f t="shared" si="2"/>
        <v>9.8767093375999995</v>
      </c>
    </row>
    <row r="54" spans="1:14" hidden="1" x14ac:dyDescent="0.45">
      <c r="A54" s="44">
        <v>2</v>
      </c>
      <c r="B54" s="8" t="s">
        <v>9</v>
      </c>
      <c r="C54" s="50" t="s">
        <v>16</v>
      </c>
      <c r="D54" s="8">
        <v>40</v>
      </c>
      <c r="E54" s="18" t="str">
        <f t="shared" ref="E54:E55" si="15">CONCATENATE(B54,C54,D54)</f>
        <v>STD 40</v>
      </c>
      <c r="F54" s="8">
        <v>50</v>
      </c>
      <c r="G54" s="34">
        <v>60.3</v>
      </c>
      <c r="H54" s="9">
        <v>3.91</v>
      </c>
      <c r="I54" s="9">
        <v>5.44</v>
      </c>
      <c r="J54" s="7">
        <v>2.375</v>
      </c>
      <c r="K54" s="7">
        <v>0.154</v>
      </c>
      <c r="L54" s="11">
        <f t="shared" si="0"/>
        <v>3.6555556732504262</v>
      </c>
      <c r="M54" s="10">
        <f t="shared" si="1"/>
        <v>1.6581321628871006</v>
      </c>
      <c r="N54" s="10">
        <f t="shared" si="2"/>
        <v>11.993147052799999</v>
      </c>
    </row>
    <row r="55" spans="1:14" hidden="1" x14ac:dyDescent="0.45">
      <c r="A55" s="44">
        <v>2</v>
      </c>
      <c r="B55" s="8" t="s">
        <v>10</v>
      </c>
      <c r="C55" s="50" t="s">
        <v>16</v>
      </c>
      <c r="D55" s="8">
        <v>80</v>
      </c>
      <c r="E55" s="18" t="str">
        <f t="shared" si="15"/>
        <v>XS 80</v>
      </c>
      <c r="F55" s="8">
        <v>50</v>
      </c>
      <c r="G55" s="34">
        <v>60.3</v>
      </c>
      <c r="H55" s="9">
        <v>5.54</v>
      </c>
      <c r="I55" s="9">
        <v>7.48</v>
      </c>
      <c r="J55" s="7">
        <v>2.375</v>
      </c>
      <c r="K55" s="7">
        <v>0.218</v>
      </c>
      <c r="L55" s="11">
        <f t="shared" si="0"/>
        <v>5.0263890507193363</v>
      </c>
      <c r="M55" s="10">
        <f t="shared" si="1"/>
        <v>2.2799317239697636</v>
      </c>
      <c r="N55" s="10">
        <f t="shared" si="2"/>
        <v>16.4905771976</v>
      </c>
    </row>
    <row r="56" spans="1:14" hidden="1" x14ac:dyDescent="0.45">
      <c r="A56" s="44">
        <v>2</v>
      </c>
      <c r="B56" s="8"/>
      <c r="C56" s="50" t="s">
        <v>16</v>
      </c>
      <c r="D56" s="8">
        <v>160</v>
      </c>
      <c r="E56" s="18" t="str">
        <f>CONCATENATE(B56,D56)</f>
        <v>160</v>
      </c>
      <c r="F56" s="8">
        <v>50</v>
      </c>
      <c r="G56" s="34">
        <v>60.3</v>
      </c>
      <c r="H56" s="9">
        <v>8.74</v>
      </c>
      <c r="I56" s="9">
        <v>11.11</v>
      </c>
      <c r="J56" s="7">
        <v>2.375</v>
      </c>
      <c r="K56" s="7">
        <v>0.34399999999999997</v>
      </c>
      <c r="L56" s="11">
        <f t="shared" si="0"/>
        <v>7.4656660900390133</v>
      </c>
      <c r="M56" s="10">
        <f t="shared" si="1"/>
        <v>3.3863691782492071</v>
      </c>
      <c r="N56" s="10">
        <f t="shared" si="2"/>
        <v>24.493357308199997</v>
      </c>
    </row>
    <row r="57" spans="1:14" hidden="1" x14ac:dyDescent="0.45">
      <c r="A57" s="44">
        <v>2</v>
      </c>
      <c r="B57" s="8" t="s">
        <v>11</v>
      </c>
      <c r="C57" s="50" t="s">
        <v>16</v>
      </c>
      <c r="D57" s="8"/>
      <c r="E57" s="18" t="str">
        <f t="shared" ref="E57:E119" si="16">CONCATENATE(B57,D57)</f>
        <v>XXS</v>
      </c>
      <c r="F57" s="8">
        <v>50</v>
      </c>
      <c r="G57" s="34">
        <v>60.3</v>
      </c>
      <c r="H57" s="9">
        <v>11.07</v>
      </c>
      <c r="I57" s="9">
        <v>13.44</v>
      </c>
      <c r="J57" s="7">
        <v>2.375</v>
      </c>
      <c r="K57" s="7">
        <v>0.436</v>
      </c>
      <c r="L57" s="11">
        <f t="shared" si="0"/>
        <v>9.0313728397951696</v>
      </c>
      <c r="M57" s="10">
        <f t="shared" si="1"/>
        <v>4.0965618141916602</v>
      </c>
      <c r="N57" s="10">
        <f t="shared" si="2"/>
        <v>29.630128012799997</v>
      </c>
    </row>
    <row r="58" spans="1:14" hidden="1" x14ac:dyDescent="0.45">
      <c r="A58" s="43">
        <v>2.5</v>
      </c>
      <c r="B58" s="8"/>
      <c r="C58" s="50" t="s">
        <v>16</v>
      </c>
      <c r="D58" s="8">
        <v>5</v>
      </c>
      <c r="E58" s="18" t="str">
        <f t="shared" si="16"/>
        <v>5</v>
      </c>
      <c r="F58" s="8">
        <v>65</v>
      </c>
      <c r="G58" s="34">
        <v>73</v>
      </c>
      <c r="H58" s="9">
        <v>2.11</v>
      </c>
      <c r="I58" s="9">
        <v>3.69</v>
      </c>
      <c r="J58" s="7">
        <v>2.875</v>
      </c>
      <c r="K58" s="7">
        <v>8.3000000000000004E-2</v>
      </c>
      <c r="L58" s="11">
        <f t="shared" si="0"/>
        <v>2.4795956680687632</v>
      </c>
      <c r="M58" s="10">
        <f t="shared" si="1"/>
        <v>1.1247256766642282</v>
      </c>
      <c r="N58" s="10">
        <f t="shared" si="2"/>
        <v>8.1350574677999994</v>
      </c>
    </row>
    <row r="59" spans="1:14" hidden="1" x14ac:dyDescent="0.45">
      <c r="A59" s="43">
        <v>2.5</v>
      </c>
      <c r="B59" s="8"/>
      <c r="C59" s="50" t="s">
        <v>16</v>
      </c>
      <c r="D59" s="8">
        <v>10</v>
      </c>
      <c r="E59" s="18" t="str">
        <f t="shared" si="16"/>
        <v>10</v>
      </c>
      <c r="F59" s="8">
        <v>65</v>
      </c>
      <c r="G59" s="34">
        <v>73</v>
      </c>
      <c r="H59" s="9">
        <v>3.05</v>
      </c>
      <c r="I59" s="9">
        <v>5.26</v>
      </c>
      <c r="J59" s="7">
        <v>2.875</v>
      </c>
      <c r="K59" s="7">
        <v>0.12</v>
      </c>
      <c r="L59" s="11">
        <f t="shared" si="0"/>
        <v>3.5345997870031693</v>
      </c>
      <c r="M59" s="10">
        <f t="shared" si="1"/>
        <v>1.603267495732748</v>
      </c>
      <c r="N59" s="10">
        <f t="shared" si="2"/>
        <v>11.596314981199999</v>
      </c>
    </row>
    <row r="60" spans="1:14" hidden="1" x14ac:dyDescent="0.45">
      <c r="A60" s="43">
        <v>2.5</v>
      </c>
      <c r="B60" s="8"/>
      <c r="C60" s="50" t="s">
        <v>16</v>
      </c>
      <c r="D60" s="8">
        <v>30</v>
      </c>
      <c r="E60" s="18" t="str">
        <f t="shared" si="16"/>
        <v>30</v>
      </c>
      <c r="F60" s="8">
        <v>65</v>
      </c>
      <c r="G60" s="34">
        <v>73</v>
      </c>
      <c r="H60" s="9">
        <v>4.78</v>
      </c>
      <c r="I60" s="9">
        <v>8.0399999999999991</v>
      </c>
      <c r="J60" s="7">
        <v>2.875</v>
      </c>
      <c r="K60" s="7">
        <v>0.188</v>
      </c>
      <c r="L60" s="11">
        <f t="shared" si="0"/>
        <v>5.402696252377468</v>
      </c>
      <c r="M60" s="10">
        <f t="shared" ref="M60:M87" si="17">I60/3.2808</f>
        <v>2.4506217995610822</v>
      </c>
      <c r="N60" s="10">
        <f t="shared" ref="N60:N87" si="18">I60*2.20462262</f>
        <v>17.725165864799997</v>
      </c>
    </row>
    <row r="61" spans="1:14" hidden="1" x14ac:dyDescent="0.45">
      <c r="A61" s="43">
        <v>2.5</v>
      </c>
      <c r="B61" s="8" t="s">
        <v>9</v>
      </c>
      <c r="C61" s="50" t="s">
        <v>16</v>
      </c>
      <c r="D61" s="8">
        <v>40</v>
      </c>
      <c r="E61" s="18" t="str">
        <f t="shared" ref="E61:E62" si="19">CONCATENATE(B61,C61,D61)</f>
        <v>STD 40</v>
      </c>
      <c r="F61" s="8">
        <v>65</v>
      </c>
      <c r="G61" s="34">
        <v>73</v>
      </c>
      <c r="H61" s="9">
        <v>5.16</v>
      </c>
      <c r="I61" s="9">
        <v>8.6300000000000008</v>
      </c>
      <c r="J61" s="7">
        <v>2.875</v>
      </c>
      <c r="K61" s="7">
        <v>0.20300000000000001</v>
      </c>
      <c r="L61" s="11">
        <f t="shared" si="0"/>
        <v>5.7991627684101434</v>
      </c>
      <c r="M61" s="10">
        <f t="shared" si="17"/>
        <v>2.6304559863447943</v>
      </c>
      <c r="N61" s="10">
        <f t="shared" si="18"/>
        <v>19.0258932106</v>
      </c>
    </row>
    <row r="62" spans="1:14" hidden="1" x14ac:dyDescent="0.45">
      <c r="A62" s="43">
        <v>2.5</v>
      </c>
      <c r="B62" s="8" t="s">
        <v>10</v>
      </c>
      <c r="C62" s="50" t="s">
        <v>16</v>
      </c>
      <c r="D62" s="8">
        <v>80</v>
      </c>
      <c r="E62" s="18" t="str">
        <f t="shared" si="19"/>
        <v>XS 80</v>
      </c>
      <c r="F62" s="8">
        <v>65</v>
      </c>
      <c r="G62" s="34">
        <v>73</v>
      </c>
      <c r="H62" s="9">
        <v>7.01</v>
      </c>
      <c r="I62" s="9">
        <v>11.41</v>
      </c>
      <c r="J62" s="7">
        <v>2.875</v>
      </c>
      <c r="K62" s="7">
        <v>0.27600000000000002</v>
      </c>
      <c r="L62" s="11">
        <f t="shared" si="0"/>
        <v>7.6672592337844421</v>
      </c>
      <c r="M62" s="10">
        <f t="shared" si="17"/>
        <v>3.4778102901731285</v>
      </c>
      <c r="N62" s="10">
        <f t="shared" si="18"/>
        <v>25.154744094199998</v>
      </c>
    </row>
    <row r="63" spans="1:14" hidden="1" x14ac:dyDescent="0.45">
      <c r="A63" s="43">
        <v>2.5</v>
      </c>
      <c r="B63" s="8"/>
      <c r="C63" s="50" t="s">
        <v>16</v>
      </c>
      <c r="D63" s="8">
        <v>160</v>
      </c>
      <c r="E63" s="18" t="str">
        <f t="shared" si="16"/>
        <v>160</v>
      </c>
      <c r="F63" s="8">
        <v>65</v>
      </c>
      <c r="G63" s="34">
        <v>73</v>
      </c>
      <c r="H63" s="9">
        <v>9.5299999999999994</v>
      </c>
      <c r="I63" s="9">
        <v>14.92</v>
      </c>
      <c r="J63" s="7">
        <v>2.875</v>
      </c>
      <c r="K63" s="7">
        <v>0.375</v>
      </c>
      <c r="L63" s="11">
        <f t="shared" si="0"/>
        <v>10.025899015605949</v>
      </c>
      <c r="M63" s="10">
        <f t="shared" si="17"/>
        <v>4.547671299683004</v>
      </c>
      <c r="N63" s="10">
        <f t="shared" si="18"/>
        <v>32.892969490399999</v>
      </c>
    </row>
    <row r="64" spans="1:14" hidden="1" x14ac:dyDescent="0.45">
      <c r="A64" s="43">
        <v>2.5</v>
      </c>
      <c r="B64" s="8" t="s">
        <v>11</v>
      </c>
      <c r="C64" s="50" t="s">
        <v>16</v>
      </c>
      <c r="D64" s="8"/>
      <c r="E64" s="18" t="str">
        <f t="shared" si="16"/>
        <v>XXS</v>
      </c>
      <c r="F64" s="8">
        <v>65</v>
      </c>
      <c r="G64" s="34">
        <v>73</v>
      </c>
      <c r="H64" s="9">
        <v>14.02</v>
      </c>
      <c r="I64" s="9">
        <v>20.39</v>
      </c>
      <c r="J64" s="7">
        <v>2.875</v>
      </c>
      <c r="K64" s="7">
        <v>0.55200000000000005</v>
      </c>
      <c r="L64" s="11">
        <f t="shared" si="0"/>
        <v>13.701614003230919</v>
      </c>
      <c r="M64" s="10">
        <f t="shared" si="17"/>
        <v>6.2149475737624966</v>
      </c>
      <c r="N64" s="10">
        <f t="shared" si="18"/>
        <v>44.952255221800002</v>
      </c>
    </row>
    <row r="65" spans="1:14" hidden="1" x14ac:dyDescent="0.45">
      <c r="A65" s="44">
        <v>3</v>
      </c>
      <c r="B65" s="8"/>
      <c r="C65" s="50" t="s">
        <v>16</v>
      </c>
      <c r="D65" s="8">
        <v>5</v>
      </c>
      <c r="E65" s="18" t="str">
        <f t="shared" si="16"/>
        <v>5</v>
      </c>
      <c r="F65" s="8">
        <v>80</v>
      </c>
      <c r="G65" s="34">
        <v>88.9</v>
      </c>
      <c r="H65" s="9">
        <v>2.11</v>
      </c>
      <c r="I65" s="9">
        <v>4.5199999999999996</v>
      </c>
      <c r="J65" s="7">
        <v>3.5</v>
      </c>
      <c r="K65" s="7">
        <v>8.3000000000000004E-2</v>
      </c>
      <c r="L65" s="11">
        <f t="shared" si="0"/>
        <v>3.0373366990977804</v>
      </c>
      <c r="M65" s="10">
        <f t="shared" si="17"/>
        <v>1.3777127529870761</v>
      </c>
      <c r="N65" s="10">
        <f t="shared" si="18"/>
        <v>9.964894242399998</v>
      </c>
    </row>
    <row r="66" spans="1:14" hidden="1" x14ac:dyDescent="0.45">
      <c r="A66" s="44">
        <v>3</v>
      </c>
      <c r="B66" s="8"/>
      <c r="C66" s="50" t="s">
        <v>16</v>
      </c>
      <c r="D66" s="8">
        <v>10</v>
      </c>
      <c r="E66" s="18" t="str">
        <f t="shared" si="16"/>
        <v>10</v>
      </c>
      <c r="F66" s="8">
        <v>80</v>
      </c>
      <c r="G66" s="34">
        <v>88.9</v>
      </c>
      <c r="H66" s="9">
        <v>3.05</v>
      </c>
      <c r="I66" s="9">
        <v>6.46</v>
      </c>
      <c r="J66" s="7">
        <v>3.5</v>
      </c>
      <c r="K66" s="7">
        <v>0.12</v>
      </c>
      <c r="L66" s="11">
        <f t="shared" si="0"/>
        <v>4.340972361984881</v>
      </c>
      <c r="M66" s="10">
        <f t="shared" si="17"/>
        <v>1.969031943428432</v>
      </c>
      <c r="N66" s="10">
        <f t="shared" si="18"/>
        <v>14.241862125199999</v>
      </c>
    </row>
    <row r="67" spans="1:14" hidden="1" x14ac:dyDescent="0.45">
      <c r="A67" s="44">
        <v>3</v>
      </c>
      <c r="B67" s="8"/>
      <c r="C67" s="50" t="s">
        <v>16</v>
      </c>
      <c r="D67" s="8">
        <v>30</v>
      </c>
      <c r="E67" s="18" t="str">
        <f t="shared" si="16"/>
        <v>30</v>
      </c>
      <c r="F67" s="8">
        <v>80</v>
      </c>
      <c r="G67" s="34">
        <v>88.9</v>
      </c>
      <c r="H67" s="9">
        <v>4.78</v>
      </c>
      <c r="I67" s="9">
        <v>9.92</v>
      </c>
      <c r="J67" s="7">
        <v>3.5</v>
      </c>
      <c r="K67" s="7">
        <v>0.188</v>
      </c>
      <c r="L67" s="11">
        <f t="shared" si="0"/>
        <v>6.6660132865154837</v>
      </c>
      <c r="M67" s="10">
        <f t="shared" si="17"/>
        <v>3.0236527676176541</v>
      </c>
      <c r="N67" s="10">
        <f t="shared" si="18"/>
        <v>21.869856390399999</v>
      </c>
    </row>
    <row r="68" spans="1:14" hidden="1" x14ac:dyDescent="0.45">
      <c r="A68" s="44">
        <v>3</v>
      </c>
      <c r="B68" s="8" t="s">
        <v>9</v>
      </c>
      <c r="C68" s="50" t="s">
        <v>16</v>
      </c>
      <c r="D68" s="8">
        <v>40</v>
      </c>
      <c r="E68" s="18" t="str">
        <f t="shared" ref="E68:E69" si="20">CONCATENATE(B68,C68,D68)</f>
        <v>STD 40</v>
      </c>
      <c r="F68" s="8">
        <v>80</v>
      </c>
      <c r="G68" s="34">
        <v>88.9</v>
      </c>
      <c r="H68" s="9">
        <v>5.49</v>
      </c>
      <c r="I68" s="9">
        <v>11.29</v>
      </c>
      <c r="J68" s="7">
        <v>3.5</v>
      </c>
      <c r="K68" s="7">
        <v>0.216</v>
      </c>
      <c r="L68" s="11">
        <f t="shared" ref="L68:L131" si="21">N68/3.2808</f>
        <v>7.5866219762862697</v>
      </c>
      <c r="M68" s="10">
        <f t="shared" si="17"/>
        <v>3.4412338454035596</v>
      </c>
      <c r="N68" s="10">
        <f t="shared" si="18"/>
        <v>24.890189379799995</v>
      </c>
    </row>
    <row r="69" spans="1:14" hidden="1" x14ac:dyDescent="0.45">
      <c r="A69" s="44">
        <v>3</v>
      </c>
      <c r="B69" s="8" t="s">
        <v>10</v>
      </c>
      <c r="C69" s="50" t="s">
        <v>16</v>
      </c>
      <c r="D69" s="8">
        <v>80</v>
      </c>
      <c r="E69" s="18" t="str">
        <f t="shared" si="20"/>
        <v>XS 80</v>
      </c>
      <c r="F69" s="8">
        <v>80</v>
      </c>
      <c r="G69" s="34">
        <v>88.9</v>
      </c>
      <c r="H69" s="9">
        <v>7.62</v>
      </c>
      <c r="I69" s="9">
        <v>15.27</v>
      </c>
      <c r="J69" s="7">
        <v>3.5</v>
      </c>
      <c r="K69" s="7">
        <v>0.3</v>
      </c>
      <c r="L69" s="11">
        <f t="shared" si="21"/>
        <v>10.261091016642281</v>
      </c>
      <c r="M69" s="10">
        <f t="shared" si="17"/>
        <v>4.6543525969275779</v>
      </c>
      <c r="N69" s="10">
        <f t="shared" si="18"/>
        <v>33.664587407399999</v>
      </c>
    </row>
    <row r="70" spans="1:14" hidden="1" x14ac:dyDescent="0.45">
      <c r="A70" s="44">
        <v>3</v>
      </c>
      <c r="B70" s="8"/>
      <c r="C70" s="50" t="s">
        <v>16</v>
      </c>
      <c r="D70" s="8">
        <v>160</v>
      </c>
      <c r="E70" s="18" t="str">
        <f t="shared" si="16"/>
        <v>160</v>
      </c>
      <c r="F70" s="8">
        <v>80</v>
      </c>
      <c r="G70" s="34">
        <v>88.9</v>
      </c>
      <c r="H70" s="9">
        <v>11.13</v>
      </c>
      <c r="I70" s="9">
        <v>21.35</v>
      </c>
      <c r="J70" s="7">
        <v>3.5</v>
      </c>
      <c r="K70" s="7">
        <v>0.438</v>
      </c>
      <c r="L70" s="11">
        <f t="shared" si="21"/>
        <v>14.346712063216289</v>
      </c>
      <c r="M70" s="10">
        <f t="shared" si="17"/>
        <v>6.5075591319190442</v>
      </c>
      <c r="N70" s="10">
        <f t="shared" si="18"/>
        <v>47.068692937000002</v>
      </c>
    </row>
    <row r="71" spans="1:14" hidden="1" x14ac:dyDescent="0.45">
      <c r="A71" s="44">
        <v>3</v>
      </c>
      <c r="B71" s="8" t="s">
        <v>11</v>
      </c>
      <c r="C71" s="50" t="s">
        <v>16</v>
      </c>
      <c r="D71" s="8"/>
      <c r="E71" s="18" t="str">
        <f t="shared" si="16"/>
        <v>XXS</v>
      </c>
      <c r="F71" s="8">
        <v>80</v>
      </c>
      <c r="G71" s="34">
        <v>88.9</v>
      </c>
      <c r="H71" s="9">
        <v>15.24</v>
      </c>
      <c r="I71" s="9">
        <v>27.68</v>
      </c>
      <c r="J71" s="7">
        <v>3.5</v>
      </c>
      <c r="K71" s="7">
        <v>0.6</v>
      </c>
      <c r="L71" s="11">
        <f t="shared" si="21"/>
        <v>18.600327396244818</v>
      </c>
      <c r="M71" s="10">
        <f t="shared" si="17"/>
        <v>8.4369665935137768</v>
      </c>
      <c r="N71" s="10">
        <f t="shared" si="18"/>
        <v>61.023954121599999</v>
      </c>
    </row>
    <row r="72" spans="1:14" hidden="1" x14ac:dyDescent="0.45">
      <c r="A72" s="43">
        <v>3.5</v>
      </c>
      <c r="B72" s="8"/>
      <c r="C72" s="50" t="s">
        <v>16</v>
      </c>
      <c r="D72" s="8">
        <v>5</v>
      </c>
      <c r="E72" s="18" t="str">
        <f t="shared" si="16"/>
        <v>5</v>
      </c>
      <c r="F72" s="8">
        <v>90</v>
      </c>
      <c r="G72" s="34">
        <v>101.6</v>
      </c>
      <c r="H72" s="9">
        <v>2.11</v>
      </c>
      <c r="I72" s="9">
        <v>5.18</v>
      </c>
      <c r="J72" s="7">
        <v>4</v>
      </c>
      <c r="K72" s="7">
        <v>8.3000000000000004E-2</v>
      </c>
      <c r="L72" s="11">
        <f t="shared" si="21"/>
        <v>3.480841615337722</v>
      </c>
      <c r="M72" s="10">
        <f t="shared" si="17"/>
        <v>1.5788831992197023</v>
      </c>
      <c r="N72" s="10">
        <f t="shared" si="18"/>
        <v>11.419945171599998</v>
      </c>
    </row>
    <row r="73" spans="1:14" hidden="1" x14ac:dyDescent="0.45">
      <c r="A73" s="43">
        <v>3.5</v>
      </c>
      <c r="B73" s="8"/>
      <c r="C73" s="50" t="s">
        <v>16</v>
      </c>
      <c r="D73" s="8">
        <v>10</v>
      </c>
      <c r="E73" s="18" t="str">
        <f t="shared" si="16"/>
        <v>10</v>
      </c>
      <c r="F73" s="8">
        <v>90</v>
      </c>
      <c r="G73" s="34">
        <v>101.6</v>
      </c>
      <c r="H73" s="9">
        <v>3.05</v>
      </c>
      <c r="I73" s="9">
        <v>7.41</v>
      </c>
      <c r="J73" s="7">
        <v>4</v>
      </c>
      <c r="K73" s="7">
        <v>0.12</v>
      </c>
      <c r="L73" s="11">
        <f t="shared" si="21"/>
        <v>4.9793506505120702</v>
      </c>
      <c r="M73" s="10">
        <f t="shared" si="17"/>
        <v>2.2585954645208486</v>
      </c>
      <c r="N73" s="10">
        <f t="shared" si="18"/>
        <v>16.3362536142</v>
      </c>
    </row>
    <row r="74" spans="1:14" hidden="1" x14ac:dyDescent="0.45">
      <c r="A74" s="43">
        <v>3.5</v>
      </c>
      <c r="B74" s="8"/>
      <c r="C74" s="50" t="s">
        <v>16</v>
      </c>
      <c r="D74" s="8">
        <v>30</v>
      </c>
      <c r="E74" s="18" t="str">
        <f t="shared" si="16"/>
        <v>30</v>
      </c>
      <c r="F74" s="8">
        <v>90</v>
      </c>
      <c r="G74" s="34">
        <v>101.6</v>
      </c>
      <c r="H74" s="9">
        <v>4.78</v>
      </c>
      <c r="I74" s="9">
        <v>11.41</v>
      </c>
      <c r="J74" s="7">
        <v>4</v>
      </c>
      <c r="K74" s="7">
        <v>0.188</v>
      </c>
      <c r="L74" s="11">
        <f t="shared" si="21"/>
        <v>7.6672592337844421</v>
      </c>
      <c r="M74" s="10">
        <f t="shared" si="17"/>
        <v>3.4778102901731285</v>
      </c>
      <c r="N74" s="10">
        <f t="shared" si="18"/>
        <v>25.154744094199998</v>
      </c>
    </row>
    <row r="75" spans="1:14" hidden="1" x14ac:dyDescent="0.45">
      <c r="A75" s="43">
        <v>3.5</v>
      </c>
      <c r="B75" s="8" t="s">
        <v>9</v>
      </c>
      <c r="C75" s="50" t="s">
        <v>16</v>
      </c>
      <c r="D75" s="8">
        <v>40</v>
      </c>
      <c r="E75" s="18" t="str">
        <f t="shared" ref="E75:E76" si="22">CONCATENATE(B75,C75,D75)</f>
        <v>STD 40</v>
      </c>
      <c r="F75" s="8">
        <v>90</v>
      </c>
      <c r="G75" s="34">
        <v>101.6</v>
      </c>
      <c r="H75" s="9">
        <v>5.74</v>
      </c>
      <c r="I75" s="9">
        <v>13.57</v>
      </c>
      <c r="J75" s="7">
        <v>4</v>
      </c>
      <c r="K75" s="7">
        <v>0.22600000000000001</v>
      </c>
      <c r="L75" s="11">
        <f t="shared" si="21"/>
        <v>9.1187298687515241</v>
      </c>
      <c r="M75" s="10">
        <f t="shared" si="17"/>
        <v>4.1361862960253593</v>
      </c>
      <c r="N75" s="10">
        <f t="shared" si="18"/>
        <v>29.9167289534</v>
      </c>
    </row>
    <row r="76" spans="1:14" hidden="1" x14ac:dyDescent="0.45">
      <c r="A76" s="43">
        <v>3.5</v>
      </c>
      <c r="B76" s="8" t="s">
        <v>10</v>
      </c>
      <c r="C76" s="50" t="s">
        <v>16</v>
      </c>
      <c r="D76" s="8">
        <v>80</v>
      </c>
      <c r="E76" s="18" t="str">
        <f t="shared" si="22"/>
        <v>XS 80</v>
      </c>
      <c r="F76" s="8">
        <v>90</v>
      </c>
      <c r="G76" s="34">
        <v>101.6</v>
      </c>
      <c r="H76" s="9">
        <v>8.08</v>
      </c>
      <c r="I76" s="9">
        <v>18.64</v>
      </c>
      <c r="J76" s="7">
        <v>4</v>
      </c>
      <c r="K76" s="7">
        <v>0.318</v>
      </c>
      <c r="L76" s="11">
        <f t="shared" si="21"/>
        <v>12.525653998049256</v>
      </c>
      <c r="M76" s="10">
        <f t="shared" si="17"/>
        <v>5.6815410875396246</v>
      </c>
      <c r="N76" s="10">
        <f t="shared" si="18"/>
        <v>41.0941656368</v>
      </c>
    </row>
    <row r="77" spans="1:14" hidden="1" x14ac:dyDescent="0.45">
      <c r="A77" s="44">
        <v>4</v>
      </c>
      <c r="B77" s="8"/>
      <c r="C77" s="50" t="s">
        <v>16</v>
      </c>
      <c r="D77" s="8">
        <v>5</v>
      </c>
      <c r="E77" s="18" t="str">
        <f t="shared" si="16"/>
        <v>5</v>
      </c>
      <c r="F77" s="8">
        <v>100</v>
      </c>
      <c r="G77" s="34">
        <v>114.3</v>
      </c>
      <c r="H77" s="9">
        <v>2.11</v>
      </c>
      <c r="I77" s="9">
        <v>5.84</v>
      </c>
      <c r="J77" s="7">
        <v>4.5</v>
      </c>
      <c r="K77" s="7">
        <v>8.3000000000000004E-2</v>
      </c>
      <c r="L77" s="11">
        <f t="shared" si="21"/>
        <v>3.9243465315776636</v>
      </c>
      <c r="M77" s="10">
        <f t="shared" si="17"/>
        <v>1.7800536454523286</v>
      </c>
      <c r="N77" s="10">
        <f t="shared" si="18"/>
        <v>12.874996100799999</v>
      </c>
    </row>
    <row r="78" spans="1:14" hidden="1" x14ac:dyDescent="0.45">
      <c r="A78" s="44">
        <v>4</v>
      </c>
      <c r="B78" s="8"/>
      <c r="C78" s="50" t="s">
        <v>16</v>
      </c>
      <c r="D78" s="8">
        <v>10</v>
      </c>
      <c r="E78" s="18" t="str">
        <f t="shared" si="16"/>
        <v>10</v>
      </c>
      <c r="F78" s="8">
        <v>100</v>
      </c>
      <c r="G78" s="34">
        <v>114.3</v>
      </c>
      <c r="H78" s="9">
        <v>3.05</v>
      </c>
      <c r="I78" s="9">
        <v>8.3699999999999992</v>
      </c>
      <c r="J78" s="7">
        <v>4.5</v>
      </c>
      <c r="K78" s="7">
        <v>0.12</v>
      </c>
      <c r="L78" s="11">
        <f t="shared" si="21"/>
        <v>5.6244487104974388</v>
      </c>
      <c r="M78" s="10">
        <f t="shared" si="17"/>
        <v>2.5512070226773953</v>
      </c>
      <c r="N78" s="10">
        <f t="shared" si="18"/>
        <v>18.452691329399997</v>
      </c>
    </row>
    <row r="79" spans="1:14" hidden="1" x14ac:dyDescent="0.45">
      <c r="A79" s="44">
        <v>4</v>
      </c>
      <c r="B79" s="8"/>
      <c r="C79" s="50" t="s">
        <v>16</v>
      </c>
      <c r="D79" s="8">
        <v>30</v>
      </c>
      <c r="E79" s="18" t="str">
        <f t="shared" si="16"/>
        <v>30</v>
      </c>
      <c r="F79" s="8">
        <v>100</v>
      </c>
      <c r="G79" s="34">
        <v>114.3</v>
      </c>
      <c r="H79" s="9">
        <v>4.78</v>
      </c>
      <c r="I79" s="9">
        <v>12.91</v>
      </c>
      <c r="J79" s="7">
        <v>4.5</v>
      </c>
      <c r="K79" s="7">
        <v>0.188</v>
      </c>
      <c r="L79" s="11">
        <f t="shared" si="21"/>
        <v>8.6752249525115808</v>
      </c>
      <c r="M79" s="10">
        <f t="shared" si="17"/>
        <v>3.9350158497927334</v>
      </c>
      <c r="N79" s="10">
        <f t="shared" si="18"/>
        <v>28.461678024199998</v>
      </c>
    </row>
    <row r="80" spans="1:14" hidden="1" x14ac:dyDescent="0.45">
      <c r="A80" s="44">
        <v>4</v>
      </c>
      <c r="B80" s="8" t="s">
        <v>9</v>
      </c>
      <c r="C80" s="50" t="s">
        <v>16</v>
      </c>
      <c r="D80" s="8">
        <v>40</v>
      </c>
      <c r="E80" s="18" t="str">
        <f t="shared" ref="E80:E81" si="23">CONCATENATE(B80,C80,D80)</f>
        <v>STD 40</v>
      </c>
      <c r="F80" s="8">
        <v>100</v>
      </c>
      <c r="G80" s="34">
        <v>114.3</v>
      </c>
      <c r="H80" s="9">
        <v>6.02</v>
      </c>
      <c r="I80" s="9">
        <v>16.079999999999998</v>
      </c>
      <c r="J80" s="7">
        <v>4.5</v>
      </c>
      <c r="K80" s="7">
        <v>0.23699999999999999</v>
      </c>
      <c r="L80" s="11">
        <f t="shared" si="21"/>
        <v>10.805392504754936</v>
      </c>
      <c r="M80" s="10">
        <f t="shared" si="17"/>
        <v>4.9012435991221643</v>
      </c>
      <c r="N80" s="10">
        <f t="shared" si="18"/>
        <v>35.450331729599995</v>
      </c>
    </row>
    <row r="81" spans="1:14" hidden="1" x14ac:dyDescent="0.45">
      <c r="A81" s="44">
        <v>4</v>
      </c>
      <c r="B81" s="8" t="s">
        <v>10</v>
      </c>
      <c r="C81" s="50" t="s">
        <v>16</v>
      </c>
      <c r="D81" s="8">
        <v>80</v>
      </c>
      <c r="E81" s="18" t="str">
        <f t="shared" si="23"/>
        <v>XS 80</v>
      </c>
      <c r="F81" s="8">
        <v>100</v>
      </c>
      <c r="G81" s="34">
        <v>114.3</v>
      </c>
      <c r="H81" s="9">
        <v>8.56</v>
      </c>
      <c r="I81" s="9">
        <v>22.32</v>
      </c>
      <c r="J81" s="7">
        <v>4.5</v>
      </c>
      <c r="K81" s="7">
        <v>0.33700000000000002</v>
      </c>
      <c r="L81" s="11">
        <f t="shared" si="21"/>
        <v>14.998529894659837</v>
      </c>
      <c r="M81" s="10">
        <f t="shared" si="17"/>
        <v>6.803218727139722</v>
      </c>
      <c r="N81" s="10">
        <f t="shared" si="18"/>
        <v>49.207176878399999</v>
      </c>
    </row>
    <row r="82" spans="1:14" hidden="1" x14ac:dyDescent="0.45">
      <c r="A82" s="44">
        <v>4</v>
      </c>
      <c r="B82" s="8"/>
      <c r="C82" s="50" t="s">
        <v>16</v>
      </c>
      <c r="D82" s="8">
        <v>120</v>
      </c>
      <c r="E82" s="18" t="str">
        <f t="shared" si="16"/>
        <v>120</v>
      </c>
      <c r="F82" s="8">
        <v>100</v>
      </c>
      <c r="G82" s="34">
        <v>114.3</v>
      </c>
      <c r="H82" s="9">
        <v>11.13</v>
      </c>
      <c r="I82" s="9">
        <v>28.32</v>
      </c>
      <c r="J82" s="7">
        <v>4.5</v>
      </c>
      <c r="K82" s="7">
        <v>0.438</v>
      </c>
      <c r="L82" s="11">
        <f t="shared" si="21"/>
        <v>19.030392769568397</v>
      </c>
      <c r="M82" s="10">
        <f t="shared" si="17"/>
        <v>8.6320409656181418</v>
      </c>
      <c r="N82" s="10">
        <f t="shared" si="18"/>
        <v>62.434912598399997</v>
      </c>
    </row>
    <row r="83" spans="1:14" hidden="1" x14ac:dyDescent="0.45">
      <c r="A83" s="44">
        <v>4</v>
      </c>
      <c r="B83" s="8"/>
      <c r="C83" s="50" t="s">
        <v>16</v>
      </c>
      <c r="D83" s="8">
        <v>160</v>
      </c>
      <c r="E83" s="18" t="str">
        <f t="shared" si="16"/>
        <v>160</v>
      </c>
      <c r="F83" s="8">
        <v>100</v>
      </c>
      <c r="G83" s="34">
        <v>114.3</v>
      </c>
      <c r="H83" s="9">
        <v>13.49</v>
      </c>
      <c r="I83" s="9">
        <v>33.54</v>
      </c>
      <c r="J83" s="7">
        <v>4.5</v>
      </c>
      <c r="K83" s="7">
        <v>0.53100000000000003</v>
      </c>
      <c r="L83" s="11">
        <f t="shared" si="21"/>
        <v>22.538113470738843</v>
      </c>
      <c r="M83" s="10">
        <f t="shared" si="17"/>
        <v>10.223116313094366</v>
      </c>
      <c r="N83" s="10">
        <f t="shared" si="18"/>
        <v>73.943042674799997</v>
      </c>
    </row>
    <row r="84" spans="1:14" hidden="1" x14ac:dyDescent="0.45">
      <c r="A84" s="44">
        <v>4</v>
      </c>
      <c r="B84" s="8" t="s">
        <v>11</v>
      </c>
      <c r="C84" s="50" t="s">
        <v>16</v>
      </c>
      <c r="D84" s="8"/>
      <c r="E84" s="18" t="str">
        <f t="shared" si="16"/>
        <v>XXS</v>
      </c>
      <c r="F84" s="8">
        <v>100</v>
      </c>
      <c r="G84" s="34">
        <v>114.3</v>
      </c>
      <c r="H84" s="9">
        <v>17.12</v>
      </c>
      <c r="I84" s="9">
        <v>41.03</v>
      </c>
      <c r="J84" s="7">
        <v>4.5</v>
      </c>
      <c r="K84" s="7">
        <v>0.67400000000000004</v>
      </c>
      <c r="L84" s="11">
        <f t="shared" si="21"/>
        <v>27.571222292916357</v>
      </c>
      <c r="M84" s="10">
        <f t="shared" si="17"/>
        <v>12.50609607412826</v>
      </c>
      <c r="N84" s="10">
        <f t="shared" si="18"/>
        <v>90.455666098599991</v>
      </c>
    </row>
    <row r="85" spans="1:14" hidden="1" x14ac:dyDescent="0.45">
      <c r="A85" s="44">
        <v>5</v>
      </c>
      <c r="B85" s="8"/>
      <c r="C85" s="50" t="s">
        <v>16</v>
      </c>
      <c r="D85" s="8">
        <v>5</v>
      </c>
      <c r="E85" s="18" t="str">
        <f t="shared" si="16"/>
        <v>5</v>
      </c>
      <c r="F85" s="8">
        <v>125</v>
      </c>
      <c r="G85" s="34">
        <v>141.30000000000001</v>
      </c>
      <c r="H85" s="9">
        <v>2.77</v>
      </c>
      <c r="I85" s="9">
        <v>9.4700000000000006</v>
      </c>
      <c r="J85" s="7">
        <v>5.5629999999999997</v>
      </c>
      <c r="K85" s="7">
        <v>0.109</v>
      </c>
      <c r="L85" s="11">
        <f t="shared" si="21"/>
        <v>6.3636235708973423</v>
      </c>
      <c r="M85" s="10">
        <f t="shared" si="17"/>
        <v>2.886491099731773</v>
      </c>
      <c r="N85" s="10">
        <f t="shared" si="18"/>
        <v>20.877776211400001</v>
      </c>
    </row>
    <row r="86" spans="1:14" hidden="1" x14ac:dyDescent="0.45">
      <c r="A86" s="44">
        <v>5</v>
      </c>
      <c r="B86" s="8"/>
      <c r="C86" s="50" t="s">
        <v>16</v>
      </c>
      <c r="D86" s="8">
        <v>10</v>
      </c>
      <c r="E86" s="18" t="str">
        <f t="shared" si="16"/>
        <v>10</v>
      </c>
      <c r="F86" s="8">
        <v>125</v>
      </c>
      <c r="G86" s="34">
        <v>141.30000000000001</v>
      </c>
      <c r="H86" s="9">
        <v>3.4</v>
      </c>
      <c r="I86" s="9">
        <v>11.56</v>
      </c>
      <c r="J86" s="7">
        <v>5.5629999999999997</v>
      </c>
      <c r="K86" s="7">
        <v>0.13400000000000001</v>
      </c>
      <c r="L86" s="11">
        <f t="shared" si="21"/>
        <v>7.7680558056571556</v>
      </c>
      <c r="M86" s="10">
        <f t="shared" si="17"/>
        <v>3.5235308461350892</v>
      </c>
      <c r="N86" s="10">
        <f t="shared" si="18"/>
        <v>25.485437487199999</v>
      </c>
    </row>
    <row r="87" spans="1:14" hidden="1" x14ac:dyDescent="0.45">
      <c r="A87" s="44">
        <v>5</v>
      </c>
      <c r="B87" s="8" t="s">
        <v>9</v>
      </c>
      <c r="C87" s="50" t="s">
        <v>16</v>
      </c>
      <c r="D87" s="8">
        <v>40</v>
      </c>
      <c r="E87" s="18" t="str">
        <f t="shared" ref="E87:E88" si="24">CONCATENATE(B87,C87,D87)</f>
        <v>STD 40</v>
      </c>
      <c r="F87" s="8">
        <v>125</v>
      </c>
      <c r="G87" s="34">
        <v>141.30000000000001</v>
      </c>
      <c r="H87" s="9">
        <v>6.55</v>
      </c>
      <c r="I87" s="9">
        <v>21.77</v>
      </c>
      <c r="J87" s="7">
        <v>5.5629999999999997</v>
      </c>
      <c r="K87" s="7">
        <v>0.25800000000000001</v>
      </c>
      <c r="L87" s="11">
        <f t="shared" si="21"/>
        <v>14.628942464459886</v>
      </c>
      <c r="M87" s="10">
        <f t="shared" si="17"/>
        <v>6.6355766886125327</v>
      </c>
      <c r="N87" s="10">
        <f t="shared" si="18"/>
        <v>47.994634437399995</v>
      </c>
    </row>
    <row r="88" spans="1:14" hidden="1" x14ac:dyDescent="0.45">
      <c r="A88" s="44">
        <v>5</v>
      </c>
      <c r="B88" s="8" t="s">
        <v>10</v>
      </c>
      <c r="C88" s="50" t="s">
        <v>16</v>
      </c>
      <c r="D88" s="8">
        <v>80</v>
      </c>
      <c r="E88" s="18" t="str">
        <f t="shared" si="24"/>
        <v>XS 80</v>
      </c>
      <c r="F88" s="8">
        <v>125</v>
      </c>
      <c r="G88" s="34">
        <v>141.30000000000001</v>
      </c>
      <c r="H88" s="9">
        <v>9.5299999999999994</v>
      </c>
      <c r="I88" s="9">
        <v>30.97</v>
      </c>
      <c r="J88" s="7">
        <v>5.5629999999999997</v>
      </c>
      <c r="K88" s="7">
        <v>0.375</v>
      </c>
      <c r="L88" s="11">
        <f t="shared" si="21"/>
        <v>20.81113220598634</v>
      </c>
      <c r="M88" s="10">
        <f t="shared" ref="M88:M115" si="25">I88/3.2808</f>
        <v>9.4397707876127761</v>
      </c>
      <c r="N88" s="10">
        <f t="shared" ref="N88:N115" si="26">I88*2.20462262</f>
        <v>68.277162541399989</v>
      </c>
    </row>
    <row r="89" spans="1:14" hidden="1" x14ac:dyDescent="0.45">
      <c r="A89" s="44">
        <v>5</v>
      </c>
      <c r="B89" s="8"/>
      <c r="C89" s="50" t="s">
        <v>16</v>
      </c>
      <c r="D89" s="8">
        <v>120</v>
      </c>
      <c r="E89" s="18" t="str">
        <f t="shared" si="16"/>
        <v>120</v>
      </c>
      <c r="F89" s="8">
        <v>125</v>
      </c>
      <c r="G89" s="34">
        <v>141.30000000000001</v>
      </c>
      <c r="H89" s="9">
        <v>12.7</v>
      </c>
      <c r="I89" s="9">
        <v>40.28</v>
      </c>
      <c r="J89" s="7">
        <v>5.5629999999999997</v>
      </c>
      <c r="K89" s="7">
        <v>0.5</v>
      </c>
      <c r="L89" s="11">
        <f t="shared" si="21"/>
        <v>27.067239433552789</v>
      </c>
      <c r="M89" s="10">
        <f t="shared" si="25"/>
        <v>12.277493294318459</v>
      </c>
      <c r="N89" s="10">
        <f t="shared" si="26"/>
        <v>88.802199133599999</v>
      </c>
    </row>
    <row r="90" spans="1:14" hidden="1" x14ac:dyDescent="0.45">
      <c r="A90" s="44">
        <v>5</v>
      </c>
      <c r="B90" s="8"/>
      <c r="C90" s="50" t="s">
        <v>16</v>
      </c>
      <c r="D90" s="8">
        <v>160</v>
      </c>
      <c r="E90" s="18" t="str">
        <f t="shared" si="16"/>
        <v>160</v>
      </c>
      <c r="F90" s="8">
        <v>125</v>
      </c>
      <c r="G90" s="34">
        <v>141.30000000000001</v>
      </c>
      <c r="H90" s="9">
        <v>15.88</v>
      </c>
      <c r="I90" s="9">
        <v>49.12</v>
      </c>
      <c r="J90" s="7">
        <v>5.5629999999999997</v>
      </c>
      <c r="K90" s="7">
        <v>0.625</v>
      </c>
      <c r="L90" s="11">
        <f t="shared" si="21"/>
        <v>33.007517402584732</v>
      </c>
      <c r="M90" s="10">
        <f t="shared" si="25"/>
        <v>14.971958059009996</v>
      </c>
      <c r="N90" s="10">
        <f t="shared" si="26"/>
        <v>108.29106309439999</v>
      </c>
    </row>
    <row r="91" spans="1:14" hidden="1" x14ac:dyDescent="0.45">
      <c r="A91" s="44">
        <v>5</v>
      </c>
      <c r="B91" s="8" t="s">
        <v>11</v>
      </c>
      <c r="C91" s="50" t="s">
        <v>16</v>
      </c>
      <c r="D91" s="8"/>
      <c r="E91" s="18" t="str">
        <f t="shared" si="16"/>
        <v>XXS</v>
      </c>
      <c r="F91" s="8">
        <v>125</v>
      </c>
      <c r="G91" s="34">
        <v>141.30000000000001</v>
      </c>
      <c r="H91" s="9">
        <v>19.05</v>
      </c>
      <c r="I91" s="9">
        <v>57.43</v>
      </c>
      <c r="J91" s="7">
        <v>5.5629999999999997</v>
      </c>
      <c r="K91" s="7">
        <v>0.75</v>
      </c>
      <c r="L91" s="11">
        <f t="shared" si="21"/>
        <v>38.591647484333087</v>
      </c>
      <c r="M91" s="10">
        <f t="shared" si="25"/>
        <v>17.504876859302609</v>
      </c>
      <c r="N91" s="10">
        <f t="shared" si="26"/>
        <v>126.61147706659999</v>
      </c>
    </row>
    <row r="92" spans="1:14" hidden="1" x14ac:dyDescent="0.45">
      <c r="A92" s="44">
        <v>6</v>
      </c>
      <c r="B92" s="8"/>
      <c r="C92" s="50" t="s">
        <v>16</v>
      </c>
      <c r="D92" s="8">
        <v>5</v>
      </c>
      <c r="E92" s="18" t="str">
        <f t="shared" si="16"/>
        <v>5</v>
      </c>
      <c r="F92" s="8">
        <v>150</v>
      </c>
      <c r="G92" s="34">
        <v>168.3</v>
      </c>
      <c r="H92" s="9">
        <v>2.77</v>
      </c>
      <c r="I92" s="9">
        <v>11.31</v>
      </c>
      <c r="J92" s="7">
        <v>6.625</v>
      </c>
      <c r="K92" s="7">
        <v>0.109</v>
      </c>
      <c r="L92" s="11">
        <f t="shared" si="21"/>
        <v>7.6000615192026331</v>
      </c>
      <c r="M92" s="10">
        <f t="shared" si="25"/>
        <v>3.4473299195318217</v>
      </c>
      <c r="N92" s="10">
        <f t="shared" si="26"/>
        <v>24.9342818322</v>
      </c>
    </row>
    <row r="93" spans="1:14" hidden="1" x14ac:dyDescent="0.45">
      <c r="A93" s="44">
        <v>6</v>
      </c>
      <c r="B93" s="8"/>
      <c r="C93" s="50" t="s">
        <v>16</v>
      </c>
      <c r="D93" s="8">
        <v>10</v>
      </c>
      <c r="E93" s="18" t="str">
        <f t="shared" si="16"/>
        <v>10</v>
      </c>
      <c r="F93" s="8">
        <v>150</v>
      </c>
      <c r="G93" s="34">
        <v>168.3</v>
      </c>
      <c r="H93" s="9">
        <v>3.4</v>
      </c>
      <c r="I93" s="9">
        <v>13.83</v>
      </c>
      <c r="J93" s="7">
        <v>6.625</v>
      </c>
      <c r="K93" s="7">
        <v>0.13400000000000001</v>
      </c>
      <c r="L93" s="11">
        <f t="shared" si="21"/>
        <v>9.2934439266642279</v>
      </c>
      <c r="M93" s="10">
        <f t="shared" si="25"/>
        <v>4.2154352596927573</v>
      </c>
      <c r="N93" s="10">
        <f t="shared" si="26"/>
        <v>30.489930834599999</v>
      </c>
    </row>
    <row r="94" spans="1:14" hidden="1" x14ac:dyDescent="0.45">
      <c r="A94" s="44">
        <v>6</v>
      </c>
      <c r="B94" s="8" t="s">
        <v>9</v>
      </c>
      <c r="C94" s="50" t="s">
        <v>16</v>
      </c>
      <c r="D94" s="8">
        <v>40</v>
      </c>
      <c r="E94" s="18" t="str">
        <f t="shared" ref="E94:E95" si="27">CONCATENATE(B94,C94,D94)</f>
        <v>STD 40</v>
      </c>
      <c r="F94" s="8">
        <v>150</v>
      </c>
      <c r="G94" s="34">
        <v>168.3</v>
      </c>
      <c r="H94" s="9">
        <v>7.11</v>
      </c>
      <c r="I94" s="9">
        <v>28.26</v>
      </c>
      <c r="J94" s="7">
        <v>6.625</v>
      </c>
      <c r="K94" s="7">
        <v>0.28000000000000003</v>
      </c>
      <c r="L94" s="11">
        <f t="shared" si="21"/>
        <v>18.990074140819313</v>
      </c>
      <c r="M94" s="10">
        <f t="shared" si="25"/>
        <v>8.6137527432333574</v>
      </c>
      <c r="N94" s="10">
        <f t="shared" si="26"/>
        <v>62.302635241200001</v>
      </c>
    </row>
    <row r="95" spans="1:14" hidden="1" x14ac:dyDescent="0.45">
      <c r="A95" s="44">
        <v>6</v>
      </c>
      <c r="B95" s="8" t="s">
        <v>10</v>
      </c>
      <c r="C95" s="50" t="s">
        <v>16</v>
      </c>
      <c r="D95" s="8">
        <v>80</v>
      </c>
      <c r="E95" s="18" t="str">
        <f t="shared" si="27"/>
        <v>XS 80</v>
      </c>
      <c r="F95" s="8">
        <v>150</v>
      </c>
      <c r="G95" s="34">
        <v>168.3</v>
      </c>
      <c r="H95" s="9">
        <v>10.97</v>
      </c>
      <c r="I95" s="9">
        <v>42.56</v>
      </c>
      <c r="J95" s="7">
        <v>6.625</v>
      </c>
      <c r="K95" s="7">
        <v>0.432</v>
      </c>
      <c r="L95" s="11">
        <f t="shared" si="21"/>
        <v>28.599347326018044</v>
      </c>
      <c r="M95" s="10">
        <f t="shared" si="25"/>
        <v>12.972445744940259</v>
      </c>
      <c r="N95" s="10">
        <f t="shared" si="26"/>
        <v>93.828738707200003</v>
      </c>
    </row>
    <row r="96" spans="1:14" hidden="1" x14ac:dyDescent="0.45">
      <c r="A96" s="44">
        <v>6</v>
      </c>
      <c r="B96" s="8"/>
      <c r="C96" s="50" t="s">
        <v>16</v>
      </c>
      <c r="D96" s="8">
        <v>120</v>
      </c>
      <c r="E96" s="18" t="str">
        <f t="shared" si="16"/>
        <v>120</v>
      </c>
      <c r="F96" s="8">
        <v>150</v>
      </c>
      <c r="G96" s="34">
        <v>168.3</v>
      </c>
      <c r="H96" s="9">
        <v>14.27</v>
      </c>
      <c r="I96" s="9">
        <v>54.21</v>
      </c>
      <c r="J96" s="7">
        <v>6.625</v>
      </c>
      <c r="K96" s="7">
        <v>0.56200000000000006</v>
      </c>
      <c r="L96" s="11">
        <f t="shared" si="21"/>
        <v>36.427881074798826</v>
      </c>
      <c r="M96" s="10">
        <f t="shared" si="25"/>
        <v>16.523408924652522</v>
      </c>
      <c r="N96" s="10">
        <f t="shared" si="26"/>
        <v>119.5125922302</v>
      </c>
    </row>
    <row r="97" spans="1:14" hidden="1" x14ac:dyDescent="0.45">
      <c r="A97" s="44">
        <v>6</v>
      </c>
      <c r="B97" s="8"/>
      <c r="C97" s="50" t="s">
        <v>16</v>
      </c>
      <c r="D97" s="8">
        <v>160</v>
      </c>
      <c r="E97" s="18" t="str">
        <f t="shared" si="16"/>
        <v>160</v>
      </c>
      <c r="F97" s="8">
        <v>150</v>
      </c>
      <c r="G97" s="34">
        <v>168.3</v>
      </c>
      <c r="H97" s="9">
        <v>18.260000000000002</v>
      </c>
      <c r="I97" s="9">
        <v>67.569999999999993</v>
      </c>
      <c r="J97" s="7">
        <v>6.625</v>
      </c>
      <c r="K97" s="7">
        <v>0.71899999999999997</v>
      </c>
      <c r="L97" s="11">
        <f t="shared" si="21"/>
        <v>45.405495742928544</v>
      </c>
      <c r="M97" s="10">
        <f t="shared" si="25"/>
        <v>20.595586442331136</v>
      </c>
      <c r="N97" s="10">
        <f t="shared" si="26"/>
        <v>148.96635043339998</v>
      </c>
    </row>
    <row r="98" spans="1:14" hidden="1" x14ac:dyDescent="0.45">
      <c r="A98" s="44">
        <v>6</v>
      </c>
      <c r="B98" s="8" t="s">
        <v>11</v>
      </c>
      <c r="C98" s="50" t="s">
        <v>16</v>
      </c>
      <c r="D98" s="8"/>
      <c r="E98" s="18" t="str">
        <f t="shared" si="16"/>
        <v>XXS</v>
      </c>
      <c r="F98" s="8">
        <v>150</v>
      </c>
      <c r="G98" s="34">
        <v>168.3</v>
      </c>
      <c r="H98" s="9">
        <v>21.95</v>
      </c>
      <c r="I98" s="9">
        <v>79.22</v>
      </c>
      <c r="J98" s="7">
        <v>6.625</v>
      </c>
      <c r="K98" s="7">
        <v>0.86399999999999999</v>
      </c>
      <c r="L98" s="11">
        <f t="shared" si="21"/>
        <v>53.234029491709336</v>
      </c>
      <c r="M98" s="10">
        <f t="shared" si="25"/>
        <v>24.146549622043402</v>
      </c>
      <c r="N98" s="10">
        <f t="shared" si="26"/>
        <v>174.65020395639999</v>
      </c>
    </row>
    <row r="99" spans="1:14" hidden="1" x14ac:dyDescent="0.45">
      <c r="A99" s="44">
        <v>8</v>
      </c>
      <c r="B99" s="8"/>
      <c r="C99" s="50" t="s">
        <v>16</v>
      </c>
      <c r="D99" s="8">
        <v>5</v>
      </c>
      <c r="E99" s="18" t="str">
        <f t="shared" si="16"/>
        <v>5</v>
      </c>
      <c r="F99" s="8">
        <v>200</v>
      </c>
      <c r="G99" s="34">
        <v>219.1</v>
      </c>
      <c r="H99" s="9">
        <v>2.77</v>
      </c>
      <c r="I99" s="9">
        <v>14.78</v>
      </c>
      <c r="J99" s="7">
        <v>8.625</v>
      </c>
      <c r="K99" s="7">
        <v>0.109</v>
      </c>
      <c r="L99" s="11">
        <f t="shared" si="21"/>
        <v>9.9318222151914153</v>
      </c>
      <c r="M99" s="10">
        <f t="shared" si="25"/>
        <v>4.5049987807851739</v>
      </c>
      <c r="N99" s="10">
        <f t="shared" si="26"/>
        <v>32.584322323599999</v>
      </c>
    </row>
    <row r="100" spans="1:14" hidden="1" x14ac:dyDescent="0.45">
      <c r="A100" s="44">
        <v>8</v>
      </c>
      <c r="B100" s="8"/>
      <c r="C100" s="50" t="s">
        <v>16</v>
      </c>
      <c r="D100" s="8">
        <v>10</v>
      </c>
      <c r="E100" s="18" t="str">
        <f t="shared" si="16"/>
        <v>10</v>
      </c>
      <c r="F100" s="8">
        <v>200</v>
      </c>
      <c r="G100" s="34">
        <v>219.1</v>
      </c>
      <c r="H100" s="9">
        <v>3.76</v>
      </c>
      <c r="I100" s="9">
        <v>19.97</v>
      </c>
      <c r="J100" s="7">
        <v>8.625</v>
      </c>
      <c r="K100" s="7">
        <v>0.14799999999999999</v>
      </c>
      <c r="L100" s="11">
        <f t="shared" si="21"/>
        <v>13.419383601987318</v>
      </c>
      <c r="M100" s="10">
        <f t="shared" si="25"/>
        <v>6.0869300170690073</v>
      </c>
      <c r="N100" s="10">
        <f t="shared" si="26"/>
        <v>44.026313721399994</v>
      </c>
    </row>
    <row r="101" spans="1:14" hidden="1" x14ac:dyDescent="0.45">
      <c r="A101" s="44">
        <v>8</v>
      </c>
      <c r="B101" s="8"/>
      <c r="C101" s="50" t="s">
        <v>16</v>
      </c>
      <c r="D101" s="8">
        <v>20</v>
      </c>
      <c r="E101" s="18" t="str">
        <f t="shared" si="16"/>
        <v>20</v>
      </c>
      <c r="F101" s="8">
        <v>200</v>
      </c>
      <c r="G101" s="34">
        <v>219.1</v>
      </c>
      <c r="H101" s="9">
        <v>6.35</v>
      </c>
      <c r="I101" s="9">
        <v>33.32</v>
      </c>
      <c r="J101" s="7">
        <v>8.625</v>
      </c>
      <c r="K101" s="7">
        <v>0.25</v>
      </c>
      <c r="L101" s="11">
        <f t="shared" si="21"/>
        <v>22.390278498658862</v>
      </c>
      <c r="M101" s="10">
        <f t="shared" si="25"/>
        <v>10.156059497683492</v>
      </c>
      <c r="N101" s="10">
        <f t="shared" si="26"/>
        <v>73.458025698399993</v>
      </c>
    </row>
    <row r="102" spans="1:14" hidden="1" x14ac:dyDescent="0.45">
      <c r="A102" s="44">
        <v>8</v>
      </c>
      <c r="B102" s="8"/>
      <c r="C102" s="50" t="s">
        <v>16</v>
      </c>
      <c r="D102" s="8">
        <v>30</v>
      </c>
      <c r="E102" s="18" t="str">
        <f t="shared" si="16"/>
        <v>30</v>
      </c>
      <c r="F102" s="8">
        <v>200</v>
      </c>
      <c r="G102" s="34">
        <v>219.1</v>
      </c>
      <c r="H102" s="9">
        <v>7.04</v>
      </c>
      <c r="I102" s="9">
        <v>36.82</v>
      </c>
      <c r="J102" s="7">
        <v>8.625</v>
      </c>
      <c r="K102" s="7">
        <v>0.27700000000000002</v>
      </c>
      <c r="L102" s="11">
        <f t="shared" si="21"/>
        <v>24.742198509022188</v>
      </c>
      <c r="M102" s="10">
        <f t="shared" si="25"/>
        <v>11.222872470129236</v>
      </c>
      <c r="N102" s="10">
        <f t="shared" si="26"/>
        <v>81.174204868399997</v>
      </c>
    </row>
    <row r="103" spans="1:14" hidden="1" x14ac:dyDescent="0.45">
      <c r="A103" s="44">
        <v>8</v>
      </c>
      <c r="B103" s="8" t="s">
        <v>9</v>
      </c>
      <c r="C103" s="50" t="s">
        <v>16</v>
      </c>
      <c r="D103" s="8">
        <v>40</v>
      </c>
      <c r="E103" s="18" t="str">
        <f>CONCATENATE(B103,C103,D103)</f>
        <v>STD 40</v>
      </c>
      <c r="F103" s="8">
        <v>200</v>
      </c>
      <c r="G103" s="34">
        <v>219.1</v>
      </c>
      <c r="H103" s="9">
        <v>8.18</v>
      </c>
      <c r="I103" s="9">
        <v>42.55</v>
      </c>
      <c r="J103" s="7">
        <v>8.625</v>
      </c>
      <c r="K103" s="7">
        <v>0.32200000000000001</v>
      </c>
      <c r="L103" s="11">
        <f t="shared" si="21"/>
        <v>28.592627554559858</v>
      </c>
      <c r="M103" s="10">
        <f t="shared" si="25"/>
        <v>12.969397707876126</v>
      </c>
      <c r="N103" s="10">
        <f t="shared" si="26"/>
        <v>93.806692480999985</v>
      </c>
    </row>
    <row r="104" spans="1:14" hidden="1" x14ac:dyDescent="0.45">
      <c r="A104" s="44">
        <v>8</v>
      </c>
      <c r="B104" s="8"/>
      <c r="C104" s="50" t="s">
        <v>16</v>
      </c>
      <c r="D104" s="8">
        <v>60</v>
      </c>
      <c r="E104" s="18" t="str">
        <f t="shared" si="16"/>
        <v>60</v>
      </c>
      <c r="F104" s="8">
        <v>200</v>
      </c>
      <c r="G104" s="34">
        <v>219.1</v>
      </c>
      <c r="H104" s="9">
        <v>10.31</v>
      </c>
      <c r="I104" s="9">
        <v>53.09</v>
      </c>
      <c r="J104" s="7">
        <v>8.625</v>
      </c>
      <c r="K104" s="7">
        <v>0.40600000000000003</v>
      </c>
      <c r="L104" s="11">
        <f t="shared" si="21"/>
        <v>35.675266671482561</v>
      </c>
      <c r="M104" s="10">
        <f t="shared" si="25"/>
        <v>16.182028773469884</v>
      </c>
      <c r="N104" s="10">
        <f t="shared" si="26"/>
        <v>117.0434148958</v>
      </c>
    </row>
    <row r="105" spans="1:14" hidden="1" x14ac:dyDescent="0.45">
      <c r="A105" s="44">
        <v>8</v>
      </c>
      <c r="B105" s="8" t="s">
        <v>10</v>
      </c>
      <c r="C105" s="50" t="s">
        <v>16</v>
      </c>
      <c r="D105" s="8">
        <v>80</v>
      </c>
      <c r="E105" s="18" t="str">
        <f>CONCATENATE(B105,C105,D105)</f>
        <v>XS 80</v>
      </c>
      <c r="F105" s="8">
        <v>200</v>
      </c>
      <c r="G105" s="34">
        <v>219.1</v>
      </c>
      <c r="H105" s="9">
        <v>12.7</v>
      </c>
      <c r="I105" s="9">
        <v>64.64</v>
      </c>
      <c r="J105" s="7">
        <v>8.625</v>
      </c>
      <c r="K105" s="7">
        <v>0.5</v>
      </c>
      <c r="L105" s="11">
        <f t="shared" si="21"/>
        <v>43.436602705681537</v>
      </c>
      <c r="M105" s="10">
        <f t="shared" si="25"/>
        <v>19.702511582540843</v>
      </c>
      <c r="N105" s="10">
        <f t="shared" si="26"/>
        <v>142.5068061568</v>
      </c>
    </row>
    <row r="106" spans="1:14" hidden="1" x14ac:dyDescent="0.45">
      <c r="A106" s="44">
        <v>8</v>
      </c>
      <c r="B106" s="8"/>
      <c r="C106" s="50" t="s">
        <v>16</v>
      </c>
      <c r="D106" s="8">
        <v>100</v>
      </c>
      <c r="E106" s="18" t="str">
        <f t="shared" si="16"/>
        <v>100</v>
      </c>
      <c r="F106" s="8">
        <v>200</v>
      </c>
      <c r="G106" s="34">
        <v>219.1</v>
      </c>
      <c r="H106" s="9">
        <v>15.09</v>
      </c>
      <c r="I106" s="9">
        <v>75.92</v>
      </c>
      <c r="J106" s="7">
        <v>8.625</v>
      </c>
      <c r="K106" s="7">
        <v>0.59399999999999997</v>
      </c>
      <c r="L106" s="11">
        <f t="shared" si="21"/>
        <v>51.016504910509624</v>
      </c>
      <c r="M106" s="10">
        <f t="shared" si="25"/>
        <v>23.140697390880273</v>
      </c>
      <c r="N106" s="10">
        <f t="shared" si="26"/>
        <v>167.37494931039998</v>
      </c>
    </row>
    <row r="107" spans="1:14" hidden="1" x14ac:dyDescent="0.45">
      <c r="A107" s="44">
        <v>8</v>
      </c>
      <c r="B107" s="8"/>
      <c r="C107" s="50" t="s">
        <v>16</v>
      </c>
      <c r="D107" s="8">
        <v>120</v>
      </c>
      <c r="E107" s="18" t="str">
        <f t="shared" si="16"/>
        <v>120</v>
      </c>
      <c r="F107" s="8">
        <v>200</v>
      </c>
      <c r="G107" s="34">
        <v>219.1</v>
      </c>
      <c r="H107" s="9">
        <v>18.260000000000002</v>
      </c>
      <c r="I107" s="9">
        <v>90.44</v>
      </c>
      <c r="J107" s="7">
        <v>8.625</v>
      </c>
      <c r="K107" s="7">
        <v>0.71899999999999997</v>
      </c>
      <c r="L107" s="11">
        <f t="shared" si="21"/>
        <v>60.773613067788339</v>
      </c>
      <c r="M107" s="10">
        <f t="shared" si="25"/>
        <v>27.566447207998046</v>
      </c>
      <c r="N107" s="10">
        <f t="shared" si="26"/>
        <v>199.38606975279998</v>
      </c>
    </row>
    <row r="108" spans="1:14" hidden="1" x14ac:dyDescent="0.45">
      <c r="A108" s="44">
        <v>8</v>
      </c>
      <c r="B108" s="8"/>
      <c r="C108" s="50" t="s">
        <v>16</v>
      </c>
      <c r="D108" s="8">
        <v>140</v>
      </c>
      <c r="E108" s="18" t="str">
        <f t="shared" si="16"/>
        <v>140</v>
      </c>
      <c r="F108" s="8">
        <v>200</v>
      </c>
      <c r="G108" s="34">
        <v>219.1</v>
      </c>
      <c r="H108" s="9">
        <v>20.62</v>
      </c>
      <c r="I108" s="9">
        <v>100.93</v>
      </c>
      <c r="J108" s="7">
        <v>8.625</v>
      </c>
      <c r="K108" s="7">
        <v>0.81200000000000006</v>
      </c>
      <c r="L108" s="11">
        <f t="shared" si="21"/>
        <v>67.822653327420142</v>
      </c>
      <c r="M108" s="10">
        <f t="shared" si="25"/>
        <v>30.763838088271154</v>
      </c>
      <c r="N108" s="10">
        <f t="shared" si="26"/>
        <v>222.5125610366</v>
      </c>
    </row>
    <row r="109" spans="1:14" hidden="1" x14ac:dyDescent="0.45">
      <c r="A109" s="44">
        <v>8</v>
      </c>
      <c r="B109" s="8" t="s">
        <v>11</v>
      </c>
      <c r="C109" s="50" t="s">
        <v>16</v>
      </c>
      <c r="D109" s="8"/>
      <c r="E109" s="18" t="str">
        <f t="shared" si="16"/>
        <v>XXS</v>
      </c>
      <c r="F109" s="8">
        <v>200</v>
      </c>
      <c r="G109" s="34">
        <v>219.1</v>
      </c>
      <c r="H109" s="9">
        <v>22.23</v>
      </c>
      <c r="I109" s="9">
        <v>107.93</v>
      </c>
      <c r="J109" s="7">
        <v>8.625</v>
      </c>
      <c r="K109" s="7">
        <v>0.875</v>
      </c>
      <c r="L109" s="11">
        <f t="shared" si="21"/>
        <v>72.526493348146801</v>
      </c>
      <c r="M109" s="10">
        <f t="shared" si="25"/>
        <v>32.897464033162642</v>
      </c>
      <c r="N109" s="10">
        <f t="shared" si="26"/>
        <v>237.94491937660001</v>
      </c>
    </row>
    <row r="110" spans="1:14" hidden="1" x14ac:dyDescent="0.45">
      <c r="A110" s="44">
        <v>8</v>
      </c>
      <c r="B110" s="8"/>
      <c r="C110" s="50" t="s">
        <v>16</v>
      </c>
      <c r="D110" s="8">
        <v>160</v>
      </c>
      <c r="E110" s="18" t="str">
        <f t="shared" si="16"/>
        <v>160</v>
      </c>
      <c r="F110" s="8">
        <v>200</v>
      </c>
      <c r="G110" s="34">
        <v>219.1</v>
      </c>
      <c r="H110" s="9">
        <v>23.01</v>
      </c>
      <c r="I110" s="9">
        <v>111.27</v>
      </c>
      <c r="J110" s="7">
        <v>8.625</v>
      </c>
      <c r="K110" s="7">
        <v>0.90600000000000003</v>
      </c>
      <c r="L110" s="11">
        <f t="shared" si="21"/>
        <v>74.770897015179216</v>
      </c>
      <c r="M110" s="10">
        <f t="shared" si="25"/>
        <v>33.915508412582291</v>
      </c>
      <c r="N110" s="10">
        <f t="shared" si="26"/>
        <v>245.30835892739998</v>
      </c>
    </row>
    <row r="111" spans="1:14" hidden="1" x14ac:dyDescent="0.45">
      <c r="A111" s="44">
        <v>10</v>
      </c>
      <c r="B111" s="8"/>
      <c r="C111" s="50" t="s">
        <v>16</v>
      </c>
      <c r="D111" s="8">
        <v>5</v>
      </c>
      <c r="E111" s="18" t="str">
        <f t="shared" si="16"/>
        <v>5</v>
      </c>
      <c r="F111" s="8">
        <v>250</v>
      </c>
      <c r="G111" s="34">
        <v>273</v>
      </c>
      <c r="H111" s="9">
        <v>3.4</v>
      </c>
      <c r="I111" s="9">
        <v>22.61</v>
      </c>
      <c r="J111" s="7">
        <v>10.75</v>
      </c>
      <c r="K111" s="7">
        <v>0.13400000000000001</v>
      </c>
      <c r="L111" s="11">
        <f t="shared" si="21"/>
        <v>15.193403266947085</v>
      </c>
      <c r="M111" s="10">
        <f t="shared" si="25"/>
        <v>6.8916118019995114</v>
      </c>
      <c r="N111" s="10">
        <f t="shared" si="26"/>
        <v>49.846517438199996</v>
      </c>
    </row>
    <row r="112" spans="1:14" hidden="1" x14ac:dyDescent="0.45">
      <c r="A112" s="44">
        <v>10</v>
      </c>
      <c r="B112" s="8"/>
      <c r="C112" s="50" t="s">
        <v>16</v>
      </c>
      <c r="D112" s="8">
        <v>10</v>
      </c>
      <c r="E112" s="18" t="str">
        <f t="shared" si="16"/>
        <v>10</v>
      </c>
      <c r="F112" s="8">
        <v>250</v>
      </c>
      <c r="G112" s="34">
        <v>273</v>
      </c>
      <c r="H112" s="9">
        <v>4.1900000000000004</v>
      </c>
      <c r="I112" s="9">
        <v>27.78</v>
      </c>
      <c r="J112" s="7">
        <v>10.75</v>
      </c>
      <c r="K112" s="7">
        <v>0.16500000000000001</v>
      </c>
      <c r="L112" s="11">
        <f t="shared" si="21"/>
        <v>18.667525110826627</v>
      </c>
      <c r="M112" s="10">
        <f t="shared" si="25"/>
        <v>8.4674469641550836</v>
      </c>
      <c r="N112" s="10">
        <f t="shared" si="26"/>
        <v>61.244416383599997</v>
      </c>
    </row>
    <row r="113" spans="1:14" hidden="1" x14ac:dyDescent="0.45">
      <c r="A113" s="44">
        <v>10</v>
      </c>
      <c r="B113" s="8"/>
      <c r="C113" s="50" t="s">
        <v>16</v>
      </c>
      <c r="D113" s="8">
        <v>20</v>
      </c>
      <c r="E113" s="18" t="str">
        <f t="shared" si="16"/>
        <v>20</v>
      </c>
      <c r="F113" s="8">
        <v>250</v>
      </c>
      <c r="G113" s="34">
        <v>273</v>
      </c>
      <c r="H113" s="9">
        <v>6.35</v>
      </c>
      <c r="I113" s="9">
        <v>41.76</v>
      </c>
      <c r="J113" s="7">
        <v>10.75</v>
      </c>
      <c r="K113" s="7">
        <v>0.25</v>
      </c>
      <c r="L113" s="11">
        <f t="shared" si="21"/>
        <v>28.061765609363565</v>
      </c>
      <c r="M113" s="10">
        <f t="shared" si="25"/>
        <v>12.728602779809801</v>
      </c>
      <c r="N113" s="10">
        <f t="shared" si="26"/>
        <v>92.06504061119999</v>
      </c>
    </row>
    <row r="114" spans="1:14" hidden="1" x14ac:dyDescent="0.45">
      <c r="A114" s="44">
        <v>10</v>
      </c>
      <c r="B114" s="8"/>
      <c r="C114" s="50" t="s">
        <v>16</v>
      </c>
      <c r="D114" s="8">
        <v>30</v>
      </c>
      <c r="E114" s="18" t="str">
        <f t="shared" si="16"/>
        <v>30</v>
      </c>
      <c r="F114" s="8">
        <v>250</v>
      </c>
      <c r="G114" s="34">
        <v>273</v>
      </c>
      <c r="H114" s="9">
        <v>7.8</v>
      </c>
      <c r="I114" s="9">
        <v>51.01</v>
      </c>
      <c r="J114" s="7">
        <v>10.75</v>
      </c>
      <c r="K114" s="7">
        <v>0.307</v>
      </c>
      <c r="L114" s="11">
        <f t="shared" si="21"/>
        <v>34.277554208180923</v>
      </c>
      <c r="M114" s="10">
        <f t="shared" si="25"/>
        <v>15.548037064130698</v>
      </c>
      <c r="N114" s="10">
        <f t="shared" si="26"/>
        <v>112.45779984619999</v>
      </c>
    </row>
    <row r="115" spans="1:14" hidden="1" x14ac:dyDescent="0.45">
      <c r="A115" s="44">
        <v>10</v>
      </c>
      <c r="B115" s="8" t="s">
        <v>9</v>
      </c>
      <c r="C115" s="50" t="s">
        <v>16</v>
      </c>
      <c r="D115" s="8">
        <v>40</v>
      </c>
      <c r="E115" s="18" t="str">
        <f t="shared" ref="E115:E116" si="28">CONCATENATE(B115,C115,D115)</f>
        <v>STD 40</v>
      </c>
      <c r="F115" s="8">
        <v>250</v>
      </c>
      <c r="G115" s="34">
        <v>273</v>
      </c>
      <c r="H115" s="9">
        <v>9.27</v>
      </c>
      <c r="I115" s="9">
        <v>60.29</v>
      </c>
      <c r="J115" s="7">
        <v>10.75</v>
      </c>
      <c r="K115" s="7">
        <v>0.36499999999999999</v>
      </c>
      <c r="L115" s="11">
        <f t="shared" si="21"/>
        <v>40.513502121372838</v>
      </c>
      <c r="M115" s="10">
        <f t="shared" si="25"/>
        <v>18.37661545964399</v>
      </c>
      <c r="N115" s="10">
        <f t="shared" si="26"/>
        <v>132.9166977598</v>
      </c>
    </row>
    <row r="116" spans="1:14" hidden="1" x14ac:dyDescent="0.45">
      <c r="A116" s="44">
        <v>10</v>
      </c>
      <c r="B116" s="8" t="s">
        <v>10</v>
      </c>
      <c r="C116" s="50" t="s">
        <v>16</v>
      </c>
      <c r="D116" s="8">
        <v>60</v>
      </c>
      <c r="E116" s="18" t="str">
        <f t="shared" si="28"/>
        <v>XS 60</v>
      </c>
      <c r="F116" s="8">
        <v>250</v>
      </c>
      <c r="G116" s="34">
        <v>273</v>
      </c>
      <c r="H116" s="9">
        <v>12.7</v>
      </c>
      <c r="I116" s="9">
        <v>81.53</v>
      </c>
      <c r="J116" s="7">
        <v>10.75</v>
      </c>
      <c r="K116" s="7">
        <v>0.5</v>
      </c>
      <c r="L116" s="11">
        <f t="shared" si="21"/>
        <v>54.786296698549123</v>
      </c>
      <c r="M116" s="10">
        <f t="shared" ref="M116:M143" si="29">I116/3.2808</f>
        <v>24.850646183857595</v>
      </c>
      <c r="N116" s="10">
        <f t="shared" ref="N116:N143" si="30">I116*2.20462262</f>
        <v>179.74288220859998</v>
      </c>
    </row>
    <row r="117" spans="1:14" hidden="1" x14ac:dyDescent="0.45">
      <c r="A117" s="44">
        <v>10</v>
      </c>
      <c r="B117" s="8"/>
      <c r="C117" s="50" t="s">
        <v>16</v>
      </c>
      <c r="D117" s="8">
        <v>80</v>
      </c>
      <c r="E117" s="18" t="str">
        <f t="shared" si="16"/>
        <v>80</v>
      </c>
      <c r="F117" s="8">
        <v>250</v>
      </c>
      <c r="G117" s="34">
        <v>273</v>
      </c>
      <c r="H117" s="9">
        <v>15.09</v>
      </c>
      <c r="I117" s="9">
        <v>95.98</v>
      </c>
      <c r="J117" s="7">
        <v>10.75</v>
      </c>
      <c r="K117" s="7">
        <v>0.59399999999999997</v>
      </c>
      <c r="L117" s="11">
        <f t="shared" si="21"/>
        <v>64.496366455620574</v>
      </c>
      <c r="M117" s="10">
        <f t="shared" si="29"/>
        <v>29.255059741526455</v>
      </c>
      <c r="N117" s="10">
        <f t="shared" si="30"/>
        <v>211.59967906759999</v>
      </c>
    </row>
    <row r="118" spans="1:14" hidden="1" x14ac:dyDescent="0.45">
      <c r="A118" s="44">
        <v>10</v>
      </c>
      <c r="B118" s="8"/>
      <c r="C118" s="50" t="s">
        <v>16</v>
      </c>
      <c r="D118" s="8">
        <v>100</v>
      </c>
      <c r="E118" s="18" t="str">
        <f t="shared" si="16"/>
        <v>100</v>
      </c>
      <c r="F118" s="8">
        <v>250</v>
      </c>
      <c r="G118" s="34">
        <v>273</v>
      </c>
      <c r="H118" s="9">
        <v>18.260000000000002</v>
      </c>
      <c r="I118" s="9">
        <v>114.71</v>
      </c>
      <c r="J118" s="7">
        <v>10.75</v>
      </c>
      <c r="K118" s="7">
        <v>0.71899999999999997</v>
      </c>
      <c r="L118" s="11">
        <f t="shared" si="21"/>
        <v>77.082498396793454</v>
      </c>
      <c r="M118" s="10">
        <f t="shared" si="29"/>
        <v>34.964033162643254</v>
      </c>
      <c r="N118" s="10">
        <f t="shared" si="30"/>
        <v>252.89226074019996</v>
      </c>
    </row>
    <row r="119" spans="1:14" hidden="1" x14ac:dyDescent="0.45">
      <c r="A119" s="44">
        <v>10</v>
      </c>
      <c r="B119" s="8"/>
      <c r="C119" s="50" t="s">
        <v>16</v>
      </c>
      <c r="D119" s="8">
        <v>120</v>
      </c>
      <c r="E119" s="18" t="str">
        <f t="shared" si="16"/>
        <v>120</v>
      </c>
      <c r="F119" s="8">
        <v>250</v>
      </c>
      <c r="G119" s="34">
        <v>273</v>
      </c>
      <c r="H119" s="9">
        <v>21.44</v>
      </c>
      <c r="I119" s="9">
        <v>133.01</v>
      </c>
      <c r="J119" s="7">
        <v>10.75</v>
      </c>
      <c r="K119" s="7">
        <v>0.84399999999999997</v>
      </c>
      <c r="L119" s="11">
        <f t="shared" si="21"/>
        <v>89.37968016526456</v>
      </c>
      <c r="M119" s="10">
        <f t="shared" si="29"/>
        <v>40.541940990002431</v>
      </c>
      <c r="N119" s="10">
        <f t="shared" si="30"/>
        <v>293.23685468619999</v>
      </c>
    </row>
    <row r="120" spans="1:14" hidden="1" x14ac:dyDescent="0.45">
      <c r="A120" s="44">
        <v>10</v>
      </c>
      <c r="B120" s="8" t="s">
        <v>11</v>
      </c>
      <c r="C120" s="50" t="s">
        <v>16</v>
      </c>
      <c r="D120" s="8">
        <v>140</v>
      </c>
      <c r="E120" s="18" t="str">
        <f>CONCATENATE(B120,C120,D120)</f>
        <v>XXS 140</v>
      </c>
      <c r="F120" s="8">
        <v>250</v>
      </c>
      <c r="G120" s="34">
        <v>273</v>
      </c>
      <c r="H120" s="9">
        <v>25.4</v>
      </c>
      <c r="I120" s="9">
        <v>155.1</v>
      </c>
      <c r="J120" s="7">
        <v>10.75</v>
      </c>
      <c r="K120" s="7">
        <v>1</v>
      </c>
      <c r="L120" s="11">
        <f t="shared" si="21"/>
        <v>104.22365531638623</v>
      </c>
      <c r="M120" s="10">
        <f t="shared" si="29"/>
        <v>47.275054864667148</v>
      </c>
      <c r="N120" s="10">
        <f t="shared" si="30"/>
        <v>341.93696836199996</v>
      </c>
    </row>
    <row r="121" spans="1:14" hidden="1" x14ac:dyDescent="0.45">
      <c r="A121" s="44">
        <v>10</v>
      </c>
      <c r="B121" s="8"/>
      <c r="C121" s="50" t="s">
        <v>16</v>
      </c>
      <c r="D121" s="8">
        <v>160</v>
      </c>
      <c r="E121" s="18" t="str">
        <f t="shared" ref="E121:E183" si="31">CONCATENATE(B121,D121)</f>
        <v>160</v>
      </c>
      <c r="F121" s="8">
        <v>250</v>
      </c>
      <c r="G121" s="34">
        <v>273</v>
      </c>
      <c r="H121" s="9">
        <v>28.58</v>
      </c>
      <c r="I121" s="9">
        <v>172.27</v>
      </c>
      <c r="J121" s="7">
        <v>10.75</v>
      </c>
      <c r="K121" s="7">
        <v>1.125</v>
      </c>
      <c r="L121" s="11">
        <f t="shared" si="21"/>
        <v>115.7615029100829</v>
      </c>
      <c r="M121" s="10">
        <f t="shared" si="29"/>
        <v>52.508534503779565</v>
      </c>
      <c r="N121" s="10">
        <f t="shared" si="30"/>
        <v>379.79033874739997</v>
      </c>
    </row>
    <row r="122" spans="1:14" hidden="1" x14ac:dyDescent="0.45">
      <c r="A122" s="44">
        <v>12</v>
      </c>
      <c r="B122" s="8"/>
      <c r="C122" s="50" t="s">
        <v>16</v>
      </c>
      <c r="D122" s="8">
        <v>5</v>
      </c>
      <c r="E122" s="18" t="str">
        <f t="shared" si="31"/>
        <v>5</v>
      </c>
      <c r="F122" s="8">
        <v>300</v>
      </c>
      <c r="G122" s="34">
        <v>323.8</v>
      </c>
      <c r="H122" s="9">
        <v>3.96</v>
      </c>
      <c r="I122" s="9">
        <v>31.24</v>
      </c>
      <c r="J122" s="7">
        <v>12.75</v>
      </c>
      <c r="K122" s="7">
        <v>0.156</v>
      </c>
      <c r="L122" s="11">
        <f t="shared" si="21"/>
        <v>20.992566035357228</v>
      </c>
      <c r="M122" s="10">
        <f t="shared" si="29"/>
        <v>9.5220677883443052</v>
      </c>
      <c r="N122" s="10">
        <f t="shared" si="30"/>
        <v>68.872410648799999</v>
      </c>
    </row>
    <row r="123" spans="1:14" hidden="1" x14ac:dyDescent="0.45">
      <c r="A123" s="44">
        <v>12</v>
      </c>
      <c r="B123" s="8"/>
      <c r="C123" s="50" t="s">
        <v>16</v>
      </c>
      <c r="D123" s="8">
        <v>10</v>
      </c>
      <c r="E123" s="18" t="str">
        <f t="shared" si="31"/>
        <v>10</v>
      </c>
      <c r="F123" s="8">
        <v>300</v>
      </c>
      <c r="G123" s="34">
        <v>323.8</v>
      </c>
      <c r="H123" s="9">
        <v>4.57</v>
      </c>
      <c r="I123" s="9">
        <v>35.979999999999997</v>
      </c>
      <c r="J123" s="7">
        <v>12.75</v>
      </c>
      <c r="K123" s="7">
        <v>0.18</v>
      </c>
      <c r="L123" s="11">
        <f t="shared" si="21"/>
        <v>24.177737706534984</v>
      </c>
      <c r="M123" s="10">
        <f t="shared" si="29"/>
        <v>10.966837356742257</v>
      </c>
      <c r="N123" s="10">
        <f t="shared" si="30"/>
        <v>79.322321867599982</v>
      </c>
    </row>
    <row r="124" spans="1:14" hidden="1" x14ac:dyDescent="0.45">
      <c r="A124" s="44">
        <v>12</v>
      </c>
      <c r="B124" s="8"/>
      <c r="C124" s="50" t="s">
        <v>16</v>
      </c>
      <c r="D124" s="8">
        <v>20</v>
      </c>
      <c r="E124" s="18" t="str">
        <f t="shared" si="31"/>
        <v>20</v>
      </c>
      <c r="F124" s="8">
        <v>300</v>
      </c>
      <c r="G124" s="34">
        <v>323.8</v>
      </c>
      <c r="H124" s="9">
        <v>6.35</v>
      </c>
      <c r="I124" s="9">
        <v>49.71</v>
      </c>
      <c r="J124" s="7">
        <v>12.75</v>
      </c>
      <c r="K124" s="7">
        <v>0.25</v>
      </c>
      <c r="L124" s="11">
        <f t="shared" si="21"/>
        <v>33.403983918617406</v>
      </c>
      <c r="M124" s="10">
        <f t="shared" si="29"/>
        <v>15.151792245793708</v>
      </c>
      <c r="N124" s="10">
        <f t="shared" si="30"/>
        <v>109.5917904402</v>
      </c>
    </row>
    <row r="125" spans="1:14" hidden="1" x14ac:dyDescent="0.45">
      <c r="A125" s="44">
        <v>12</v>
      </c>
      <c r="B125" s="8"/>
      <c r="C125" s="50" t="s">
        <v>16</v>
      </c>
      <c r="D125" s="8">
        <v>30</v>
      </c>
      <c r="E125" s="18" t="str">
        <f t="shared" si="31"/>
        <v>30</v>
      </c>
      <c r="F125" s="8">
        <v>300</v>
      </c>
      <c r="G125" s="34">
        <v>323.8</v>
      </c>
      <c r="H125" s="9">
        <v>8.3800000000000008</v>
      </c>
      <c r="I125" s="9">
        <v>65.19</v>
      </c>
      <c r="J125" s="7">
        <v>12.75</v>
      </c>
      <c r="K125" s="7">
        <v>0.33</v>
      </c>
      <c r="L125" s="11">
        <f t="shared" si="21"/>
        <v>43.806190135881486</v>
      </c>
      <c r="M125" s="10">
        <f t="shared" si="29"/>
        <v>19.870153621068031</v>
      </c>
      <c r="N125" s="10">
        <f t="shared" si="30"/>
        <v>143.71934859779998</v>
      </c>
    </row>
    <row r="126" spans="1:14" hidden="1" x14ac:dyDescent="0.45">
      <c r="A126" s="44">
        <v>12</v>
      </c>
      <c r="B126" s="8" t="s">
        <v>9</v>
      </c>
      <c r="C126" s="50" t="s">
        <v>16</v>
      </c>
      <c r="D126" s="8"/>
      <c r="E126" s="18" t="str">
        <f t="shared" si="31"/>
        <v>STD</v>
      </c>
      <c r="F126" s="8">
        <v>300</v>
      </c>
      <c r="G126" s="34">
        <v>323.8</v>
      </c>
      <c r="H126" s="9">
        <v>9.5299999999999994</v>
      </c>
      <c r="I126" s="9">
        <v>73.86</v>
      </c>
      <c r="J126" s="7">
        <v>12.75</v>
      </c>
      <c r="K126" s="7">
        <v>0.375</v>
      </c>
      <c r="L126" s="11">
        <f t="shared" si="21"/>
        <v>49.63223199012436</v>
      </c>
      <c r="M126" s="10">
        <f t="shared" si="29"/>
        <v>22.512801755669347</v>
      </c>
      <c r="N126" s="10">
        <f t="shared" si="30"/>
        <v>162.8334267132</v>
      </c>
    </row>
    <row r="127" spans="1:14" hidden="1" x14ac:dyDescent="0.45">
      <c r="A127" s="44">
        <v>12</v>
      </c>
      <c r="B127" s="8"/>
      <c r="C127" s="50" t="s">
        <v>16</v>
      </c>
      <c r="D127" s="8">
        <v>40</v>
      </c>
      <c r="E127" s="18" t="str">
        <f t="shared" si="31"/>
        <v>40</v>
      </c>
      <c r="F127" s="8">
        <v>300</v>
      </c>
      <c r="G127" s="34">
        <v>323.8</v>
      </c>
      <c r="H127" s="9">
        <v>10.31</v>
      </c>
      <c r="I127" s="9">
        <v>79.709999999999994</v>
      </c>
      <c r="J127" s="7">
        <v>12.75</v>
      </c>
      <c r="K127" s="7">
        <v>0.40600000000000003</v>
      </c>
      <c r="L127" s="11">
        <f t="shared" si="21"/>
        <v>53.563298293160194</v>
      </c>
      <c r="M127" s="10">
        <f t="shared" si="29"/>
        <v>24.295903438185807</v>
      </c>
      <c r="N127" s="10">
        <f t="shared" si="30"/>
        <v>175.73046904019998</v>
      </c>
    </row>
    <row r="128" spans="1:14" hidden="1" x14ac:dyDescent="0.45">
      <c r="A128" s="44">
        <v>12</v>
      </c>
      <c r="B128" s="8" t="s">
        <v>10</v>
      </c>
      <c r="C128" s="50" t="s">
        <v>16</v>
      </c>
      <c r="D128" s="8"/>
      <c r="E128" s="18" t="str">
        <f t="shared" si="31"/>
        <v>XS</v>
      </c>
      <c r="F128" s="8">
        <v>300</v>
      </c>
      <c r="G128" s="34">
        <v>323.8</v>
      </c>
      <c r="H128" s="9">
        <v>12.7</v>
      </c>
      <c r="I128" s="9">
        <v>97.44</v>
      </c>
      <c r="J128" s="7">
        <v>12.75</v>
      </c>
      <c r="K128" s="7">
        <v>0.5</v>
      </c>
      <c r="L128" s="11">
        <f t="shared" si="21"/>
        <v>65.477453088514991</v>
      </c>
      <c r="M128" s="10">
        <f t="shared" si="29"/>
        <v>29.700073152889537</v>
      </c>
      <c r="N128" s="10">
        <f t="shared" si="30"/>
        <v>214.81842809279999</v>
      </c>
    </row>
    <row r="129" spans="1:14" hidden="1" x14ac:dyDescent="0.45">
      <c r="A129" s="44">
        <v>12</v>
      </c>
      <c r="B129" s="8"/>
      <c r="C129" s="50" t="s">
        <v>16</v>
      </c>
      <c r="D129" s="8">
        <v>60</v>
      </c>
      <c r="E129" s="18" t="str">
        <f t="shared" si="31"/>
        <v>60</v>
      </c>
      <c r="F129" s="8">
        <v>300</v>
      </c>
      <c r="G129" s="34">
        <v>323.8</v>
      </c>
      <c r="H129" s="9">
        <v>14.27</v>
      </c>
      <c r="I129" s="9">
        <v>108.93</v>
      </c>
      <c r="J129" s="7">
        <v>12.75</v>
      </c>
      <c r="K129" s="7">
        <v>0.56200000000000006</v>
      </c>
      <c r="L129" s="11">
        <f t="shared" si="21"/>
        <v>73.198470493964876</v>
      </c>
      <c r="M129" s="10">
        <f t="shared" si="29"/>
        <v>33.202267739575717</v>
      </c>
      <c r="N129" s="10">
        <f t="shared" si="30"/>
        <v>240.14954199659999</v>
      </c>
    </row>
    <row r="130" spans="1:14" hidden="1" x14ac:dyDescent="0.45">
      <c r="A130" s="44">
        <v>12</v>
      </c>
      <c r="B130" s="8"/>
      <c r="C130" s="50" t="s">
        <v>16</v>
      </c>
      <c r="D130" s="8">
        <v>80</v>
      </c>
      <c r="E130" s="18" t="str">
        <f t="shared" si="31"/>
        <v>80</v>
      </c>
      <c r="F130" s="8">
        <v>300</v>
      </c>
      <c r="G130" s="34">
        <v>323.8</v>
      </c>
      <c r="H130" s="9">
        <v>17.48</v>
      </c>
      <c r="I130" s="9">
        <v>132.05000000000001</v>
      </c>
      <c r="J130" s="7">
        <v>12.75</v>
      </c>
      <c r="K130" s="7">
        <v>0.68799999999999994</v>
      </c>
      <c r="L130" s="11">
        <f t="shared" si="21"/>
        <v>88.734582105279202</v>
      </c>
      <c r="M130" s="10">
        <f t="shared" si="29"/>
        <v>40.249329431845894</v>
      </c>
      <c r="N130" s="10">
        <f t="shared" si="30"/>
        <v>291.120416971</v>
      </c>
    </row>
    <row r="131" spans="1:14" hidden="1" x14ac:dyDescent="0.45">
      <c r="A131" s="44">
        <v>12</v>
      </c>
      <c r="B131" s="8"/>
      <c r="C131" s="50" t="s">
        <v>16</v>
      </c>
      <c r="D131" s="8">
        <v>100</v>
      </c>
      <c r="E131" s="18" t="str">
        <f t="shared" si="31"/>
        <v>100</v>
      </c>
      <c r="F131" s="8">
        <v>300</v>
      </c>
      <c r="G131" s="34">
        <v>323.8</v>
      </c>
      <c r="H131" s="9">
        <v>21.44</v>
      </c>
      <c r="I131" s="9">
        <v>159.87</v>
      </c>
      <c r="J131" s="7">
        <v>12.75</v>
      </c>
      <c r="K131" s="7">
        <v>0.84399999999999997</v>
      </c>
      <c r="L131" s="11">
        <f t="shared" si="21"/>
        <v>107.42898630193854</v>
      </c>
      <c r="M131" s="10">
        <f t="shared" si="29"/>
        <v>48.728968544257498</v>
      </c>
      <c r="N131" s="10">
        <f t="shared" si="30"/>
        <v>352.45301825939998</v>
      </c>
    </row>
    <row r="132" spans="1:14" hidden="1" x14ac:dyDescent="0.45">
      <c r="A132" s="44">
        <v>12</v>
      </c>
      <c r="B132" s="8" t="s">
        <v>11</v>
      </c>
      <c r="C132" s="50" t="s">
        <v>16</v>
      </c>
      <c r="D132" s="8">
        <v>120</v>
      </c>
      <c r="E132" s="18" t="str">
        <f>CONCATENATE(B132,C132,D132)</f>
        <v>XXS 120</v>
      </c>
      <c r="F132" s="8">
        <v>300</v>
      </c>
      <c r="G132" s="34">
        <v>323.8</v>
      </c>
      <c r="H132" s="9">
        <v>25.4</v>
      </c>
      <c r="I132" s="9">
        <v>186.92</v>
      </c>
      <c r="J132" s="7">
        <v>12.75</v>
      </c>
      <c r="K132" s="7">
        <v>1</v>
      </c>
      <c r="L132" s="11">
        <f t="shared" ref="L132:L195" si="32">N132/3.2808</f>
        <v>125.60596809631794</v>
      </c>
      <c r="M132" s="10">
        <f t="shared" si="29"/>
        <v>56.973908802731032</v>
      </c>
      <c r="N132" s="10">
        <f t="shared" si="30"/>
        <v>412.08806013039992</v>
      </c>
    </row>
    <row r="133" spans="1:14" hidden="1" x14ac:dyDescent="0.45">
      <c r="A133" s="44">
        <v>12</v>
      </c>
      <c r="B133" s="8"/>
      <c r="C133" s="50" t="s">
        <v>16</v>
      </c>
      <c r="D133" s="8">
        <v>140</v>
      </c>
      <c r="E133" s="18" t="str">
        <f t="shared" si="31"/>
        <v>140</v>
      </c>
      <c r="F133" s="8">
        <v>300</v>
      </c>
      <c r="G133" s="34">
        <v>323.8</v>
      </c>
      <c r="H133" s="9">
        <v>28.58</v>
      </c>
      <c r="I133" s="9">
        <v>208.08</v>
      </c>
      <c r="J133" s="7">
        <v>12.75</v>
      </c>
      <c r="K133" s="7">
        <v>1.125</v>
      </c>
      <c r="L133" s="11">
        <f t="shared" si="32"/>
        <v>139.82500450182883</v>
      </c>
      <c r="M133" s="10">
        <f t="shared" si="29"/>
        <v>63.423555230431603</v>
      </c>
      <c r="N133" s="10">
        <f t="shared" si="30"/>
        <v>458.73787476960001</v>
      </c>
    </row>
    <row r="134" spans="1:14" hidden="1" x14ac:dyDescent="0.45">
      <c r="A134" s="44">
        <v>12</v>
      </c>
      <c r="B134" s="8"/>
      <c r="C134" s="50" t="s">
        <v>16</v>
      </c>
      <c r="D134" s="8">
        <v>160</v>
      </c>
      <c r="E134" s="18" t="str">
        <f t="shared" si="31"/>
        <v>160</v>
      </c>
      <c r="F134" s="8">
        <v>300</v>
      </c>
      <c r="G134" s="34">
        <v>323.8</v>
      </c>
      <c r="H134" s="9">
        <v>33.32</v>
      </c>
      <c r="I134" s="9">
        <v>238.69</v>
      </c>
      <c r="J134" s="7">
        <v>12.75</v>
      </c>
      <c r="K134" s="7">
        <v>1.3120000000000001</v>
      </c>
      <c r="L134" s="11">
        <f t="shared" si="32"/>
        <v>160.39422493532064</v>
      </c>
      <c r="M134" s="10">
        <f t="shared" si="29"/>
        <v>72.753596683735665</v>
      </c>
      <c r="N134" s="10">
        <f t="shared" si="30"/>
        <v>526.22137316779992</v>
      </c>
    </row>
    <row r="135" spans="1:14" hidden="1" x14ac:dyDescent="0.45">
      <c r="A135" s="44">
        <v>14</v>
      </c>
      <c r="B135" s="8"/>
      <c r="C135" s="50" t="s">
        <v>16</v>
      </c>
      <c r="D135" s="8">
        <v>5</v>
      </c>
      <c r="E135" s="18" t="str">
        <f t="shared" si="31"/>
        <v>5</v>
      </c>
      <c r="F135" s="8">
        <v>350</v>
      </c>
      <c r="G135" s="34">
        <v>355.6</v>
      </c>
      <c r="H135" s="9">
        <v>3.96</v>
      </c>
      <c r="I135" s="9">
        <v>34.340000000000003</v>
      </c>
      <c r="J135" s="7">
        <v>14</v>
      </c>
      <c r="K135" s="7">
        <v>0.156</v>
      </c>
      <c r="L135" s="11">
        <f t="shared" si="32"/>
        <v>23.075695187393315</v>
      </c>
      <c r="M135" s="10">
        <f t="shared" si="29"/>
        <v>10.466959278224824</v>
      </c>
      <c r="N135" s="10">
        <f t="shared" si="30"/>
        <v>75.706740770799996</v>
      </c>
    </row>
    <row r="136" spans="1:14" hidden="1" x14ac:dyDescent="0.45">
      <c r="A136" s="44">
        <v>14</v>
      </c>
      <c r="B136" s="8"/>
      <c r="C136" s="50" t="s">
        <v>16</v>
      </c>
      <c r="D136" s="8">
        <v>10</v>
      </c>
      <c r="E136" s="18" t="str">
        <f t="shared" si="31"/>
        <v>10</v>
      </c>
      <c r="F136" s="8">
        <v>350</v>
      </c>
      <c r="G136" s="34">
        <v>355.6</v>
      </c>
      <c r="H136" s="9">
        <v>6.35</v>
      </c>
      <c r="I136" s="9">
        <v>54.69</v>
      </c>
      <c r="J136" s="7">
        <v>14</v>
      </c>
      <c r="K136" s="7">
        <v>0.25</v>
      </c>
      <c r="L136" s="11">
        <f t="shared" si="32"/>
        <v>36.750430104791505</v>
      </c>
      <c r="M136" s="10">
        <f t="shared" si="29"/>
        <v>16.669714703730797</v>
      </c>
      <c r="N136" s="10">
        <f t="shared" si="30"/>
        <v>120.57081108779998</v>
      </c>
    </row>
    <row r="137" spans="1:14" hidden="1" x14ac:dyDescent="0.45">
      <c r="A137" s="44">
        <v>14</v>
      </c>
      <c r="B137" s="8"/>
      <c r="C137" s="50" t="s">
        <v>16</v>
      </c>
      <c r="D137" s="8">
        <v>20</v>
      </c>
      <c r="E137" s="18" t="str">
        <f t="shared" si="31"/>
        <v>20</v>
      </c>
      <c r="F137" s="8">
        <v>350</v>
      </c>
      <c r="G137" s="34">
        <v>355.6</v>
      </c>
      <c r="H137" s="9">
        <v>7.92</v>
      </c>
      <c r="I137" s="9">
        <v>67.91</v>
      </c>
      <c r="J137" s="7">
        <v>14</v>
      </c>
      <c r="K137" s="7">
        <v>0.312</v>
      </c>
      <c r="L137" s="11">
        <f t="shared" si="32"/>
        <v>45.633967972506696</v>
      </c>
      <c r="M137" s="10">
        <f t="shared" si="29"/>
        <v>20.699219702511581</v>
      </c>
      <c r="N137" s="10">
        <f t="shared" si="30"/>
        <v>149.71592212419998</v>
      </c>
    </row>
    <row r="138" spans="1:14" hidden="1" x14ac:dyDescent="0.45">
      <c r="A138" s="44">
        <v>14</v>
      </c>
      <c r="B138" s="8" t="s">
        <v>9</v>
      </c>
      <c r="C138" s="50" t="s">
        <v>16</v>
      </c>
      <c r="D138" s="8">
        <v>30</v>
      </c>
      <c r="E138" s="18" t="str">
        <f>CONCATENATE(B138,C138,D138)</f>
        <v>STD 30</v>
      </c>
      <c r="F138" s="8">
        <v>350</v>
      </c>
      <c r="G138" s="34">
        <v>355.6</v>
      </c>
      <c r="H138" s="9">
        <v>9.5299999999999994</v>
      </c>
      <c r="I138" s="9">
        <v>81.33</v>
      </c>
      <c r="J138" s="7">
        <v>14</v>
      </c>
      <c r="K138" s="7">
        <v>0.375</v>
      </c>
      <c r="L138" s="11">
        <f t="shared" si="32"/>
        <v>54.651901269385505</v>
      </c>
      <c r="M138" s="10">
        <f t="shared" si="29"/>
        <v>24.789685442574982</v>
      </c>
      <c r="N138" s="10">
        <f t="shared" si="30"/>
        <v>179.30195768459998</v>
      </c>
    </row>
    <row r="139" spans="1:14" hidden="1" x14ac:dyDescent="0.45">
      <c r="A139" s="44">
        <v>14</v>
      </c>
      <c r="B139" s="8"/>
      <c r="C139" s="50" t="s">
        <v>16</v>
      </c>
      <c r="D139" s="8">
        <v>40</v>
      </c>
      <c r="E139" s="18" t="str">
        <f t="shared" si="31"/>
        <v>40</v>
      </c>
      <c r="F139" s="8">
        <v>350</v>
      </c>
      <c r="G139" s="34">
        <v>355.6</v>
      </c>
      <c r="H139" s="9">
        <v>11.13</v>
      </c>
      <c r="I139" s="9">
        <v>94.55</v>
      </c>
      <c r="J139" s="7">
        <v>14</v>
      </c>
      <c r="K139" s="7">
        <v>0.438</v>
      </c>
      <c r="L139" s="11">
        <f t="shared" si="32"/>
        <v>63.535439137100703</v>
      </c>
      <c r="M139" s="10">
        <f t="shared" si="29"/>
        <v>28.819190441355765</v>
      </c>
      <c r="N139" s="10">
        <f t="shared" si="30"/>
        <v>208.44706872099999</v>
      </c>
    </row>
    <row r="140" spans="1:14" hidden="1" x14ac:dyDescent="0.45">
      <c r="A140" s="44">
        <v>14</v>
      </c>
      <c r="B140" s="8" t="s">
        <v>10</v>
      </c>
      <c r="C140" s="50" t="s">
        <v>16</v>
      </c>
      <c r="D140" s="8"/>
      <c r="E140" s="18" t="str">
        <f t="shared" si="31"/>
        <v>XS</v>
      </c>
      <c r="F140" s="8">
        <v>350</v>
      </c>
      <c r="G140" s="34">
        <v>355.6</v>
      </c>
      <c r="H140" s="9">
        <v>12.7</v>
      </c>
      <c r="I140" s="9">
        <v>107.4</v>
      </c>
      <c r="J140" s="7">
        <v>14</v>
      </c>
      <c r="K140" s="7">
        <v>0.5</v>
      </c>
      <c r="L140" s="11">
        <f t="shared" si="32"/>
        <v>72.170345460863203</v>
      </c>
      <c r="M140" s="10">
        <f t="shared" si="29"/>
        <v>32.735918068763716</v>
      </c>
      <c r="N140" s="10">
        <f t="shared" si="30"/>
        <v>236.77646938800001</v>
      </c>
    </row>
    <row r="141" spans="1:14" hidden="1" x14ac:dyDescent="0.45">
      <c r="A141" s="44">
        <v>14</v>
      </c>
      <c r="B141" s="8"/>
      <c r="C141" s="50" t="s">
        <v>16</v>
      </c>
      <c r="D141" s="8">
        <v>60</v>
      </c>
      <c r="E141" s="18" t="str">
        <f t="shared" si="31"/>
        <v>60</v>
      </c>
      <c r="F141" s="8">
        <v>350</v>
      </c>
      <c r="G141" s="34">
        <v>355.6</v>
      </c>
      <c r="H141" s="9">
        <v>15.09</v>
      </c>
      <c r="I141" s="9">
        <v>126.72</v>
      </c>
      <c r="J141" s="7">
        <v>14</v>
      </c>
      <c r="K141" s="7">
        <v>0.59399999999999997</v>
      </c>
      <c r="L141" s="11">
        <f t="shared" si="32"/>
        <v>85.152943918068758</v>
      </c>
      <c r="M141" s="10">
        <f t="shared" si="29"/>
        <v>38.624725676664227</v>
      </c>
      <c r="N141" s="10">
        <f t="shared" si="30"/>
        <v>279.36977840639997</v>
      </c>
    </row>
    <row r="142" spans="1:14" hidden="1" x14ac:dyDescent="0.45">
      <c r="A142" s="44">
        <v>14</v>
      </c>
      <c r="B142" s="8"/>
      <c r="C142" s="50" t="s">
        <v>16</v>
      </c>
      <c r="D142" s="8">
        <v>80</v>
      </c>
      <c r="E142" s="18" t="str">
        <f t="shared" si="31"/>
        <v>80</v>
      </c>
      <c r="F142" s="8">
        <v>350</v>
      </c>
      <c r="G142" s="34">
        <v>355.6</v>
      </c>
      <c r="H142" s="9">
        <v>19.05</v>
      </c>
      <c r="I142" s="9">
        <v>158.11000000000001</v>
      </c>
      <c r="J142" s="7">
        <v>14</v>
      </c>
      <c r="K142" s="7">
        <v>0.75</v>
      </c>
      <c r="L142" s="11">
        <f t="shared" si="32"/>
        <v>106.24630652529871</v>
      </c>
      <c r="M142" s="10">
        <f t="shared" si="29"/>
        <v>48.192514020970499</v>
      </c>
      <c r="N142" s="10">
        <f t="shared" si="30"/>
        <v>348.57288244820001</v>
      </c>
    </row>
    <row r="143" spans="1:14" hidden="1" x14ac:dyDescent="0.45">
      <c r="A143" s="44">
        <v>14</v>
      </c>
      <c r="B143" s="8"/>
      <c r="C143" s="50" t="s">
        <v>16</v>
      </c>
      <c r="D143" s="8">
        <v>100</v>
      </c>
      <c r="E143" s="18" t="str">
        <f t="shared" si="31"/>
        <v>100</v>
      </c>
      <c r="F143" s="8">
        <v>350</v>
      </c>
      <c r="G143" s="34">
        <v>355.6</v>
      </c>
      <c r="H143" s="9">
        <v>23.83</v>
      </c>
      <c r="I143" s="9">
        <v>194.98</v>
      </c>
      <c r="J143" s="7">
        <v>14</v>
      </c>
      <c r="K143" s="7">
        <v>0.93799999999999994</v>
      </c>
      <c r="L143" s="11">
        <f t="shared" si="32"/>
        <v>131.02210389161178</v>
      </c>
      <c r="M143" s="10">
        <f t="shared" si="29"/>
        <v>59.430626676420381</v>
      </c>
      <c r="N143" s="10">
        <f t="shared" si="30"/>
        <v>429.85731844759994</v>
      </c>
    </row>
    <row r="144" spans="1:14" hidden="1" x14ac:dyDescent="0.45">
      <c r="A144" s="44">
        <v>14</v>
      </c>
      <c r="B144" s="8"/>
      <c r="C144" s="50" t="s">
        <v>16</v>
      </c>
      <c r="D144" s="8">
        <v>120</v>
      </c>
      <c r="E144" s="18" t="str">
        <f t="shared" si="31"/>
        <v>120</v>
      </c>
      <c r="F144" s="8">
        <v>350</v>
      </c>
      <c r="G144" s="34">
        <v>355.6</v>
      </c>
      <c r="H144" s="9">
        <v>27.79</v>
      </c>
      <c r="I144" s="9">
        <v>224.66</v>
      </c>
      <c r="J144" s="7">
        <v>14</v>
      </c>
      <c r="K144" s="7">
        <v>1.0940000000000001</v>
      </c>
      <c r="L144" s="11">
        <f t="shared" si="32"/>
        <v>150.96638557949279</v>
      </c>
      <c r="M144" s="10">
        <f t="shared" ref="M144:M167" si="33">I144/3.2808</f>
        <v>68.477200682760298</v>
      </c>
      <c r="N144" s="10">
        <f t="shared" ref="N144:N167" si="34">I144*2.20462262</f>
        <v>495.29051780919997</v>
      </c>
    </row>
    <row r="145" spans="1:14" hidden="1" x14ac:dyDescent="0.45">
      <c r="A145" s="44">
        <v>14</v>
      </c>
      <c r="B145" s="8"/>
      <c r="C145" s="50" t="s">
        <v>16</v>
      </c>
      <c r="D145" s="8">
        <v>140</v>
      </c>
      <c r="E145" s="18" t="str">
        <f t="shared" si="31"/>
        <v>140</v>
      </c>
      <c r="F145" s="8">
        <v>350</v>
      </c>
      <c r="G145" s="34">
        <v>355.6</v>
      </c>
      <c r="H145" s="9">
        <v>31.75</v>
      </c>
      <c r="I145" s="9">
        <v>253.58</v>
      </c>
      <c r="J145" s="7">
        <v>14</v>
      </c>
      <c r="K145" s="7">
        <v>1.25</v>
      </c>
      <c r="L145" s="11">
        <f t="shared" si="32"/>
        <v>170.39996463655206</v>
      </c>
      <c r="M145" s="10">
        <f t="shared" si="33"/>
        <v>77.292123872226284</v>
      </c>
      <c r="N145" s="10">
        <f t="shared" si="34"/>
        <v>559.04820397959998</v>
      </c>
    </row>
    <row r="146" spans="1:14" hidden="1" x14ac:dyDescent="0.45">
      <c r="A146" s="44">
        <v>14</v>
      </c>
      <c r="B146" s="8"/>
      <c r="C146" s="50" t="s">
        <v>16</v>
      </c>
      <c r="D146" s="8">
        <v>160</v>
      </c>
      <c r="E146" s="18" t="str">
        <f t="shared" si="31"/>
        <v>160</v>
      </c>
      <c r="F146" s="8">
        <v>350</v>
      </c>
      <c r="G146" s="34">
        <v>355.6</v>
      </c>
      <c r="H146" s="9">
        <v>35.71</v>
      </c>
      <c r="I146" s="9">
        <v>281.72000000000003</v>
      </c>
      <c r="J146" s="7">
        <v>14</v>
      </c>
      <c r="K146" s="7">
        <v>1.4059999999999999</v>
      </c>
      <c r="L146" s="11">
        <f t="shared" si="32"/>
        <v>189.30940151987321</v>
      </c>
      <c r="M146" s="10">
        <f t="shared" si="33"/>
        <v>85.869300170690082</v>
      </c>
      <c r="N146" s="10">
        <f t="shared" si="34"/>
        <v>621.08628450640003</v>
      </c>
    </row>
    <row r="147" spans="1:14" x14ac:dyDescent="0.45">
      <c r="A147" s="44">
        <v>16</v>
      </c>
      <c r="B147" s="8"/>
      <c r="C147" s="50" t="s">
        <v>16</v>
      </c>
      <c r="D147" s="8">
        <v>5</v>
      </c>
      <c r="E147" s="18" t="str">
        <f t="shared" si="31"/>
        <v>5</v>
      </c>
      <c r="F147" s="8">
        <v>400</v>
      </c>
      <c r="G147" s="34">
        <v>406.4</v>
      </c>
      <c r="H147" s="9">
        <f t="shared" ref="H147:H178" si="35">K147*25.4</f>
        <v>4.1909999999999998</v>
      </c>
      <c r="I147" s="9">
        <v>41.56</v>
      </c>
      <c r="J147" s="7">
        <v>16</v>
      </c>
      <c r="K147" s="7">
        <v>0.16500000000000001</v>
      </c>
      <c r="L147" s="11">
        <f t="shared" si="32"/>
        <v>27.927370180199947</v>
      </c>
      <c r="M147" s="10">
        <f t="shared" si="33"/>
        <v>12.667642038527189</v>
      </c>
      <c r="N147" s="10">
        <f t="shared" si="34"/>
        <v>91.624116087199994</v>
      </c>
    </row>
    <row r="148" spans="1:14" x14ac:dyDescent="0.45">
      <c r="A148" s="44">
        <v>16</v>
      </c>
      <c r="B148" s="8"/>
      <c r="C148" s="50" t="s">
        <v>16</v>
      </c>
      <c r="D148" s="8">
        <v>10</v>
      </c>
      <c r="E148" s="18" t="str">
        <f t="shared" si="31"/>
        <v>10</v>
      </c>
      <c r="F148" s="8">
        <v>400</v>
      </c>
      <c r="G148" s="34">
        <v>406.4</v>
      </c>
      <c r="H148" s="9">
        <f t="shared" si="35"/>
        <v>6.35</v>
      </c>
      <c r="I148" s="9">
        <v>62.65</v>
      </c>
      <c r="J148" s="7">
        <v>16</v>
      </c>
      <c r="K148" s="7">
        <v>0.25</v>
      </c>
      <c r="L148" s="11">
        <f t="shared" si="32"/>
        <v>42.099368185503529</v>
      </c>
      <c r="M148" s="10">
        <f t="shared" si="33"/>
        <v>19.095952206778833</v>
      </c>
      <c r="N148" s="10">
        <f t="shared" si="34"/>
        <v>138.119607143</v>
      </c>
    </row>
    <row r="149" spans="1:14" x14ac:dyDescent="0.45">
      <c r="A149" s="44">
        <v>16</v>
      </c>
      <c r="B149" s="8"/>
      <c r="C149" s="50" t="s">
        <v>16</v>
      </c>
      <c r="D149" s="8">
        <v>20</v>
      </c>
      <c r="E149" s="18" t="str">
        <f t="shared" si="31"/>
        <v>20</v>
      </c>
      <c r="F149" s="8">
        <v>400</v>
      </c>
      <c r="G149" s="34">
        <v>406.4</v>
      </c>
      <c r="H149" s="9">
        <f t="shared" si="35"/>
        <v>7.9247999999999994</v>
      </c>
      <c r="I149" s="9">
        <v>77.83</v>
      </c>
      <c r="J149" s="7">
        <v>16</v>
      </c>
      <c r="K149" s="7">
        <v>0.312</v>
      </c>
      <c r="L149" s="11">
        <f t="shared" si="32"/>
        <v>52.299981259022182</v>
      </c>
      <c r="M149" s="10">
        <f t="shared" si="33"/>
        <v>23.722872470129236</v>
      </c>
      <c r="N149" s="10">
        <f t="shared" si="34"/>
        <v>171.58577851459998</v>
      </c>
    </row>
    <row r="150" spans="1:14" x14ac:dyDescent="0.45">
      <c r="A150" s="44">
        <v>16</v>
      </c>
      <c r="B150" s="8" t="s">
        <v>9</v>
      </c>
      <c r="C150" s="50" t="s">
        <v>16</v>
      </c>
      <c r="D150" s="8">
        <v>30</v>
      </c>
      <c r="E150" s="18" t="str">
        <f t="shared" ref="E150:E151" si="36">CONCATENATE(B150,C150,D150)</f>
        <v>STD 30</v>
      </c>
      <c r="F150" s="8">
        <v>400</v>
      </c>
      <c r="G150" s="34">
        <v>406.4</v>
      </c>
      <c r="H150" s="9">
        <f t="shared" si="35"/>
        <v>9.5249999999999986</v>
      </c>
      <c r="I150" s="9">
        <v>93.27</v>
      </c>
      <c r="J150" s="7">
        <v>16</v>
      </c>
      <c r="K150" s="7">
        <v>0.375</v>
      </c>
      <c r="L150" s="11">
        <f t="shared" si="32"/>
        <v>62.675308390453537</v>
      </c>
      <c r="M150" s="10">
        <f t="shared" si="33"/>
        <v>28.429041697147035</v>
      </c>
      <c r="N150" s="10">
        <f t="shared" si="34"/>
        <v>205.62515176739998</v>
      </c>
    </row>
    <row r="151" spans="1:14" x14ac:dyDescent="0.45">
      <c r="A151" s="44">
        <v>16</v>
      </c>
      <c r="B151" s="8" t="s">
        <v>10</v>
      </c>
      <c r="C151" s="50" t="s">
        <v>16</v>
      </c>
      <c r="D151" s="8">
        <v>40</v>
      </c>
      <c r="E151" s="18" t="str">
        <f t="shared" si="36"/>
        <v>XS 40</v>
      </c>
      <c r="F151" s="8">
        <v>400</v>
      </c>
      <c r="G151" s="34">
        <v>406.4</v>
      </c>
      <c r="H151" s="9">
        <f t="shared" si="35"/>
        <v>12.7</v>
      </c>
      <c r="I151" s="9">
        <v>123.31</v>
      </c>
      <c r="J151" s="7">
        <v>16</v>
      </c>
      <c r="K151" s="7">
        <v>0.5</v>
      </c>
      <c r="L151" s="11">
        <f t="shared" si="32"/>
        <v>82.861501850829058</v>
      </c>
      <c r="M151" s="10">
        <f t="shared" si="33"/>
        <v>37.585345037795662</v>
      </c>
      <c r="N151" s="10">
        <f t="shared" si="34"/>
        <v>271.85201527219999</v>
      </c>
    </row>
    <row r="152" spans="1:14" x14ac:dyDescent="0.45">
      <c r="A152" s="44">
        <v>16</v>
      </c>
      <c r="B152" s="8"/>
      <c r="C152" s="50" t="s">
        <v>16</v>
      </c>
      <c r="D152" s="8">
        <v>60</v>
      </c>
      <c r="E152" s="18" t="str">
        <f t="shared" si="31"/>
        <v>60</v>
      </c>
      <c r="F152" s="8">
        <v>400</v>
      </c>
      <c r="G152" s="34">
        <v>406.4</v>
      </c>
      <c r="H152" s="9">
        <f t="shared" si="35"/>
        <v>16.662399999999998</v>
      </c>
      <c r="I152" s="9">
        <v>160.13</v>
      </c>
      <c r="J152" s="7">
        <v>16</v>
      </c>
      <c r="K152" s="7">
        <v>0.65600000000000003</v>
      </c>
      <c r="L152" s="11">
        <f t="shared" si="32"/>
        <v>107.60370035985123</v>
      </c>
      <c r="M152" s="10">
        <f t="shared" si="33"/>
        <v>48.808217507924894</v>
      </c>
      <c r="N152" s="10">
        <f t="shared" si="34"/>
        <v>353.02622014059995</v>
      </c>
    </row>
    <row r="153" spans="1:14" x14ac:dyDescent="0.45">
      <c r="A153" s="44">
        <v>16</v>
      </c>
      <c r="B153" s="8"/>
      <c r="C153" s="50" t="s">
        <v>16</v>
      </c>
      <c r="D153" s="8">
        <v>80</v>
      </c>
      <c r="E153" s="18" t="str">
        <f t="shared" si="31"/>
        <v>80</v>
      </c>
      <c r="F153" s="8">
        <v>400</v>
      </c>
      <c r="G153" s="34">
        <v>406.4</v>
      </c>
      <c r="H153" s="9">
        <f t="shared" si="35"/>
        <v>21.4376</v>
      </c>
      <c r="I153" s="9">
        <v>203.54</v>
      </c>
      <c r="J153" s="7">
        <v>16</v>
      </c>
      <c r="K153" s="7">
        <v>0.84399999999999997</v>
      </c>
      <c r="L153" s="11">
        <f t="shared" si="32"/>
        <v>136.77422825981466</v>
      </c>
      <c r="M153" s="10">
        <f t="shared" si="33"/>
        <v>62.039746403316258</v>
      </c>
      <c r="N153" s="10">
        <f t="shared" si="34"/>
        <v>448.72888807479995</v>
      </c>
    </row>
    <row r="154" spans="1:14" x14ac:dyDescent="0.45">
      <c r="A154" s="44">
        <v>16</v>
      </c>
      <c r="B154" s="8"/>
      <c r="C154" s="50" t="s">
        <v>16</v>
      </c>
      <c r="D154" s="8">
        <v>100</v>
      </c>
      <c r="E154" s="18" t="str">
        <f t="shared" si="31"/>
        <v>100</v>
      </c>
      <c r="F154" s="8">
        <v>400</v>
      </c>
      <c r="G154" s="34">
        <v>406.4</v>
      </c>
      <c r="H154" s="9">
        <f t="shared" si="35"/>
        <v>26.187399999999997</v>
      </c>
      <c r="I154" s="9">
        <v>245.57</v>
      </c>
      <c r="J154" s="7">
        <v>16</v>
      </c>
      <c r="K154" s="7">
        <v>1.0309999999999999</v>
      </c>
      <c r="L154" s="11">
        <f t="shared" si="32"/>
        <v>165.01742769854911</v>
      </c>
      <c r="M154" s="10">
        <f t="shared" si="33"/>
        <v>74.850646183857592</v>
      </c>
      <c r="N154" s="10">
        <f t="shared" si="34"/>
        <v>541.3891767934</v>
      </c>
    </row>
    <row r="155" spans="1:14" x14ac:dyDescent="0.45">
      <c r="A155" s="44">
        <v>16</v>
      </c>
      <c r="B155" s="8"/>
      <c r="C155" s="50" t="s">
        <v>16</v>
      </c>
      <c r="D155" s="8">
        <v>120</v>
      </c>
      <c r="E155" s="18" t="str">
        <f t="shared" si="31"/>
        <v>120</v>
      </c>
      <c r="F155" s="8">
        <v>400</v>
      </c>
      <c r="G155" s="34">
        <v>406.4</v>
      </c>
      <c r="H155" s="9">
        <f t="shared" si="35"/>
        <v>30.962600000000002</v>
      </c>
      <c r="I155" s="9">
        <v>286.66000000000003</v>
      </c>
      <c r="J155" s="7">
        <v>16</v>
      </c>
      <c r="K155" s="7">
        <v>1.2190000000000001</v>
      </c>
      <c r="L155" s="11">
        <f t="shared" si="32"/>
        <v>192.62896862021455</v>
      </c>
      <c r="M155" s="10">
        <f t="shared" si="33"/>
        <v>87.37503048037064</v>
      </c>
      <c r="N155" s="10">
        <f t="shared" si="34"/>
        <v>631.97712024919997</v>
      </c>
    </row>
    <row r="156" spans="1:14" x14ac:dyDescent="0.45">
      <c r="A156" s="44">
        <v>16</v>
      </c>
      <c r="B156" s="8"/>
      <c r="C156" s="50" t="s">
        <v>16</v>
      </c>
      <c r="D156" s="8">
        <v>140</v>
      </c>
      <c r="E156" s="18" t="str">
        <f t="shared" si="31"/>
        <v>140</v>
      </c>
      <c r="F156" s="8">
        <v>400</v>
      </c>
      <c r="G156" s="34">
        <v>406.4</v>
      </c>
      <c r="H156" s="9">
        <f t="shared" si="35"/>
        <v>36.525199999999998</v>
      </c>
      <c r="I156" s="9">
        <v>333.21</v>
      </c>
      <c r="J156" s="7">
        <v>16</v>
      </c>
      <c r="K156" s="7">
        <v>1.4379999999999999</v>
      </c>
      <c r="L156" s="11">
        <f t="shared" si="32"/>
        <v>223.90950475804678</v>
      </c>
      <c r="M156" s="10">
        <f t="shared" si="33"/>
        <v>101.56364301389904</v>
      </c>
      <c r="N156" s="10">
        <f t="shared" si="34"/>
        <v>734.60230321019992</v>
      </c>
    </row>
    <row r="157" spans="1:14" x14ac:dyDescent="0.45">
      <c r="A157" s="44">
        <v>16</v>
      </c>
      <c r="B157" s="8"/>
      <c r="C157" s="50" t="s">
        <v>16</v>
      </c>
      <c r="D157" s="8">
        <v>160</v>
      </c>
      <c r="E157" s="18" t="str">
        <f t="shared" si="31"/>
        <v>160</v>
      </c>
      <c r="F157" s="8">
        <v>400</v>
      </c>
      <c r="G157" s="34">
        <v>406.4</v>
      </c>
      <c r="H157" s="9">
        <f t="shared" si="35"/>
        <v>40.4876</v>
      </c>
      <c r="I157" s="9">
        <v>365.38</v>
      </c>
      <c r="J157" s="7">
        <v>16</v>
      </c>
      <c r="K157" s="7">
        <v>1.5940000000000001</v>
      </c>
      <c r="L157" s="11">
        <f t="shared" si="32"/>
        <v>245.52700953901484</v>
      </c>
      <c r="M157" s="10">
        <f t="shared" si="33"/>
        <v>111.36917824920751</v>
      </c>
      <c r="N157" s="10">
        <f t="shared" si="34"/>
        <v>805.52501289559996</v>
      </c>
    </row>
    <row r="158" spans="1:14" hidden="1" x14ac:dyDescent="0.45">
      <c r="A158" s="44">
        <v>18</v>
      </c>
      <c r="B158" s="8"/>
      <c r="C158" s="50" t="s">
        <v>16</v>
      </c>
      <c r="D158" s="8">
        <v>5</v>
      </c>
      <c r="E158" s="18" t="str">
        <f t="shared" si="31"/>
        <v>5</v>
      </c>
      <c r="F158" s="8">
        <v>450</v>
      </c>
      <c r="G158" s="35">
        <v>457</v>
      </c>
      <c r="H158" s="29">
        <f t="shared" si="35"/>
        <v>4.1909999999999998</v>
      </c>
      <c r="I158" s="29">
        <v>46.79</v>
      </c>
      <c r="J158" s="7">
        <v>18</v>
      </c>
      <c r="K158" s="7">
        <v>0.16500000000000001</v>
      </c>
      <c r="L158" s="31">
        <f t="shared" si="32"/>
        <v>31.441810652828575</v>
      </c>
      <c r="M158" s="30">
        <f t="shared" si="33"/>
        <v>14.261765423067544</v>
      </c>
      <c r="N158" s="30">
        <f t="shared" si="34"/>
        <v>103.15429238979999</v>
      </c>
    </row>
    <row r="159" spans="1:14" hidden="1" x14ac:dyDescent="0.45">
      <c r="A159" s="44">
        <v>18</v>
      </c>
      <c r="B159" s="8"/>
      <c r="C159" s="50" t="s">
        <v>16</v>
      </c>
      <c r="D159" s="8">
        <v>10</v>
      </c>
      <c r="E159" s="18" t="str">
        <f t="shared" si="31"/>
        <v>10</v>
      </c>
      <c r="F159" s="8">
        <v>450</v>
      </c>
      <c r="G159" s="35">
        <v>457</v>
      </c>
      <c r="H159" s="29">
        <f t="shared" si="35"/>
        <v>6.35</v>
      </c>
      <c r="I159" s="29">
        <v>70.569999999999993</v>
      </c>
      <c r="J159" s="7">
        <v>18</v>
      </c>
      <c r="K159" s="7">
        <v>0.25</v>
      </c>
      <c r="L159" s="31">
        <f t="shared" si="32"/>
        <v>47.421427180382828</v>
      </c>
      <c r="M159" s="30">
        <f t="shared" si="33"/>
        <v>21.509997561570344</v>
      </c>
      <c r="N159" s="30">
        <f t="shared" si="34"/>
        <v>155.58021829339998</v>
      </c>
    </row>
    <row r="160" spans="1:14" hidden="1" x14ac:dyDescent="0.45">
      <c r="A160" s="44">
        <v>18</v>
      </c>
      <c r="B160" s="8"/>
      <c r="C160" s="50" t="s">
        <v>16</v>
      </c>
      <c r="D160" s="8">
        <v>20</v>
      </c>
      <c r="E160" s="18" t="str">
        <f t="shared" si="31"/>
        <v>20</v>
      </c>
      <c r="F160" s="8">
        <v>450</v>
      </c>
      <c r="G160" s="35">
        <v>457</v>
      </c>
      <c r="H160" s="29">
        <f t="shared" si="35"/>
        <v>7.9247999999999994</v>
      </c>
      <c r="I160" s="29">
        <v>87.71</v>
      </c>
      <c r="J160" s="7">
        <v>18</v>
      </c>
      <c r="K160" s="7">
        <v>0.312</v>
      </c>
      <c r="L160" s="31">
        <f t="shared" si="32"/>
        <v>58.939115459704936</v>
      </c>
      <c r="M160" s="30">
        <f t="shared" si="33"/>
        <v>26.734333089490367</v>
      </c>
      <c r="N160" s="30">
        <f t="shared" si="34"/>
        <v>193.36745000019997</v>
      </c>
    </row>
    <row r="161" spans="1:14" hidden="1" x14ac:dyDescent="0.45">
      <c r="A161" s="44">
        <v>18</v>
      </c>
      <c r="B161" s="8" t="s">
        <v>9</v>
      </c>
      <c r="C161" s="50" t="s">
        <v>16</v>
      </c>
      <c r="D161" s="8"/>
      <c r="E161" s="18" t="str">
        <f t="shared" si="31"/>
        <v>STD</v>
      </c>
      <c r="F161" s="8">
        <v>450</v>
      </c>
      <c r="G161" s="35">
        <v>457</v>
      </c>
      <c r="H161" s="29">
        <f t="shared" si="35"/>
        <v>9.5249999999999986</v>
      </c>
      <c r="I161" s="29">
        <v>105.17</v>
      </c>
      <c r="J161" s="7">
        <v>18</v>
      </c>
      <c r="K161" s="7">
        <v>0.375</v>
      </c>
      <c r="L161" s="31">
        <f t="shared" si="32"/>
        <v>70.671836425688852</v>
      </c>
      <c r="M161" s="30">
        <f t="shared" si="33"/>
        <v>32.056205803462568</v>
      </c>
      <c r="N161" s="30">
        <f t="shared" si="34"/>
        <v>231.8601609454</v>
      </c>
    </row>
    <row r="162" spans="1:14" hidden="1" x14ac:dyDescent="0.45">
      <c r="A162" s="44">
        <v>18</v>
      </c>
      <c r="B162" s="8"/>
      <c r="C162" s="50" t="s">
        <v>16</v>
      </c>
      <c r="D162" s="8">
        <v>30</v>
      </c>
      <c r="E162" s="18" t="str">
        <f t="shared" si="31"/>
        <v>30</v>
      </c>
      <c r="F162" s="8">
        <v>450</v>
      </c>
      <c r="G162" s="35">
        <v>457</v>
      </c>
      <c r="H162" s="29">
        <f t="shared" si="35"/>
        <v>11.1252</v>
      </c>
      <c r="I162" s="29">
        <v>122.38</v>
      </c>
      <c r="J162" s="7">
        <v>18</v>
      </c>
      <c r="K162" s="7">
        <v>0.438</v>
      </c>
      <c r="L162" s="31">
        <f t="shared" si="32"/>
        <v>82.236563105218238</v>
      </c>
      <c r="M162" s="30">
        <f t="shared" si="33"/>
        <v>37.301877590831502</v>
      </c>
      <c r="N162" s="30">
        <f t="shared" si="34"/>
        <v>269.8017162356</v>
      </c>
    </row>
    <row r="163" spans="1:14" hidden="1" x14ac:dyDescent="0.45">
      <c r="A163" s="44">
        <v>18</v>
      </c>
      <c r="B163" s="8" t="s">
        <v>10</v>
      </c>
      <c r="C163" s="50" t="s">
        <v>16</v>
      </c>
      <c r="D163" s="8"/>
      <c r="E163" s="18" t="str">
        <f t="shared" si="31"/>
        <v>XS</v>
      </c>
      <c r="F163" s="8">
        <v>450</v>
      </c>
      <c r="G163" s="35">
        <v>457</v>
      </c>
      <c r="H163" s="29">
        <f t="shared" si="35"/>
        <v>12.7</v>
      </c>
      <c r="I163" s="29">
        <v>139.16</v>
      </c>
      <c r="J163" s="7">
        <v>18</v>
      </c>
      <c r="K163" s="7">
        <v>0.5</v>
      </c>
      <c r="L163" s="31">
        <f t="shared" si="32"/>
        <v>93.512339612045835</v>
      </c>
      <c r="M163" s="30">
        <f t="shared" si="33"/>
        <v>42.416483784442818</v>
      </c>
      <c r="N163" s="30">
        <f t="shared" si="34"/>
        <v>306.79528379919998</v>
      </c>
    </row>
    <row r="164" spans="1:14" hidden="1" x14ac:dyDescent="0.45">
      <c r="A164" s="44">
        <v>18</v>
      </c>
      <c r="B164" s="8"/>
      <c r="C164" s="50" t="s">
        <v>16</v>
      </c>
      <c r="D164" s="8">
        <v>40</v>
      </c>
      <c r="E164" s="18" t="str">
        <f t="shared" si="31"/>
        <v>40</v>
      </c>
      <c r="F164" s="8">
        <v>450</v>
      </c>
      <c r="G164" s="35">
        <v>457</v>
      </c>
      <c r="H164" s="29">
        <f t="shared" si="35"/>
        <v>14.274800000000001</v>
      </c>
      <c r="I164" s="29">
        <v>155.81</v>
      </c>
      <c r="J164" s="7">
        <v>18</v>
      </c>
      <c r="K164" s="7">
        <v>0.56200000000000006</v>
      </c>
      <c r="L164" s="31">
        <f t="shared" si="32"/>
        <v>104.70075908991709</v>
      </c>
      <c r="M164" s="30">
        <f t="shared" si="33"/>
        <v>47.491465496220435</v>
      </c>
      <c r="N164" s="30">
        <f t="shared" si="34"/>
        <v>343.50225042220001</v>
      </c>
    </row>
    <row r="165" spans="1:14" hidden="1" x14ac:dyDescent="0.45">
      <c r="A165" s="44">
        <v>18</v>
      </c>
      <c r="B165" s="8"/>
      <c r="C165" s="50" t="s">
        <v>16</v>
      </c>
      <c r="D165" s="8">
        <v>60</v>
      </c>
      <c r="E165" s="18" t="str">
        <f t="shared" si="31"/>
        <v>60</v>
      </c>
      <c r="F165" s="8">
        <v>450</v>
      </c>
      <c r="G165" s="35">
        <v>457</v>
      </c>
      <c r="H165" s="29">
        <f t="shared" si="35"/>
        <v>19.049999999999997</v>
      </c>
      <c r="I165" s="29">
        <v>205.75</v>
      </c>
      <c r="J165" s="7">
        <v>18</v>
      </c>
      <c r="K165" s="7">
        <v>0.75</v>
      </c>
      <c r="L165" s="31">
        <f t="shared" si="32"/>
        <v>138.25929775207265</v>
      </c>
      <c r="M165" s="30">
        <f t="shared" si="33"/>
        <v>62.713362594489148</v>
      </c>
      <c r="N165" s="30">
        <f t="shared" si="34"/>
        <v>453.60110406499996</v>
      </c>
    </row>
    <row r="166" spans="1:14" hidden="1" x14ac:dyDescent="0.45">
      <c r="A166" s="44">
        <v>18</v>
      </c>
      <c r="B166" s="8"/>
      <c r="C166" s="50" t="s">
        <v>16</v>
      </c>
      <c r="D166" s="8">
        <v>80</v>
      </c>
      <c r="E166" s="18" t="str">
        <f t="shared" si="31"/>
        <v>80</v>
      </c>
      <c r="F166" s="8">
        <v>450</v>
      </c>
      <c r="G166" s="35">
        <v>457</v>
      </c>
      <c r="H166" s="29">
        <f t="shared" si="35"/>
        <v>23.825199999999999</v>
      </c>
      <c r="I166" s="29">
        <v>254.57</v>
      </c>
      <c r="J166" s="7">
        <v>18</v>
      </c>
      <c r="K166" s="7">
        <v>0.93799999999999994</v>
      </c>
      <c r="L166" s="31">
        <f t="shared" si="32"/>
        <v>171.06522201091195</v>
      </c>
      <c r="M166" s="30">
        <f t="shared" si="33"/>
        <v>77.59387954157522</v>
      </c>
      <c r="N166" s="30">
        <f t="shared" si="34"/>
        <v>561.23078037339997</v>
      </c>
    </row>
    <row r="167" spans="1:14" hidden="1" x14ac:dyDescent="0.45">
      <c r="A167" s="44">
        <v>18</v>
      </c>
      <c r="B167" s="8"/>
      <c r="C167" s="50" t="s">
        <v>16</v>
      </c>
      <c r="D167" s="8">
        <v>100</v>
      </c>
      <c r="E167" s="18" t="str">
        <f t="shared" si="31"/>
        <v>100</v>
      </c>
      <c r="F167" s="8">
        <v>450</v>
      </c>
      <c r="G167" s="35">
        <v>457</v>
      </c>
      <c r="H167" s="29">
        <f t="shared" si="35"/>
        <v>29.362399999999997</v>
      </c>
      <c r="I167" s="29">
        <v>309.64</v>
      </c>
      <c r="J167" s="7">
        <v>18</v>
      </c>
      <c r="K167" s="7">
        <v>1.1559999999999999</v>
      </c>
      <c r="L167" s="31">
        <f t="shared" si="32"/>
        <v>208.07100343111432</v>
      </c>
      <c r="M167" s="30">
        <f t="shared" si="33"/>
        <v>94.379419653742985</v>
      </c>
      <c r="N167" s="30">
        <f t="shared" si="34"/>
        <v>682.63934805679992</v>
      </c>
    </row>
    <row r="168" spans="1:14" hidden="1" x14ac:dyDescent="0.45">
      <c r="A168" s="44">
        <v>18</v>
      </c>
      <c r="B168" s="8"/>
      <c r="C168" s="50" t="s">
        <v>16</v>
      </c>
      <c r="D168" s="8">
        <v>120</v>
      </c>
      <c r="E168" s="18" t="str">
        <f t="shared" si="31"/>
        <v>120</v>
      </c>
      <c r="F168" s="8">
        <v>450</v>
      </c>
      <c r="G168" s="35">
        <v>457</v>
      </c>
      <c r="H168" s="29">
        <f t="shared" si="35"/>
        <v>34.924999999999997</v>
      </c>
      <c r="I168" s="29">
        <v>363.58</v>
      </c>
      <c r="J168" s="7">
        <v>18</v>
      </c>
      <c r="K168" s="7">
        <v>1.375</v>
      </c>
      <c r="L168" s="31">
        <f t="shared" si="32"/>
        <v>244.31745067654228</v>
      </c>
      <c r="M168" s="30">
        <f t="shared" ref="M168:M234" si="37">I168/3.2808</f>
        <v>110.82053157766397</v>
      </c>
      <c r="N168" s="30">
        <f t="shared" ref="N168:N234" si="38">I168*2.20462262</f>
        <v>801.55669217959996</v>
      </c>
    </row>
    <row r="169" spans="1:14" hidden="1" x14ac:dyDescent="0.45">
      <c r="A169" s="44">
        <v>18</v>
      </c>
      <c r="B169" s="8"/>
      <c r="C169" s="50" t="s">
        <v>16</v>
      </c>
      <c r="D169" s="8">
        <v>140</v>
      </c>
      <c r="E169" s="18" t="str">
        <f t="shared" si="31"/>
        <v>140</v>
      </c>
      <c r="F169" s="8">
        <v>450</v>
      </c>
      <c r="G169" s="35">
        <v>457</v>
      </c>
      <c r="H169" s="29">
        <f t="shared" si="35"/>
        <v>39.674799999999998</v>
      </c>
      <c r="I169" s="29">
        <v>408.28</v>
      </c>
      <c r="J169" s="7">
        <v>18</v>
      </c>
      <c r="K169" s="7">
        <v>1.5620000000000001</v>
      </c>
      <c r="L169" s="31">
        <f t="shared" si="32"/>
        <v>274.35482909461098</v>
      </c>
      <c r="M169" s="30">
        <f t="shared" si="37"/>
        <v>124.4452572543282</v>
      </c>
      <c r="N169" s="30">
        <f t="shared" si="38"/>
        <v>900.10332329359983</v>
      </c>
    </row>
    <row r="170" spans="1:14" hidden="1" x14ac:dyDescent="0.45">
      <c r="A170" s="44">
        <v>18</v>
      </c>
      <c r="B170" s="8"/>
      <c r="C170" s="50" t="s">
        <v>16</v>
      </c>
      <c r="D170" s="8">
        <v>160</v>
      </c>
      <c r="E170" s="18" t="str">
        <f t="shared" si="31"/>
        <v>160</v>
      </c>
      <c r="F170" s="8">
        <v>450</v>
      </c>
      <c r="G170" s="35">
        <v>457</v>
      </c>
      <c r="H170" s="29">
        <f t="shared" si="35"/>
        <v>45.237399999999994</v>
      </c>
      <c r="I170" s="29">
        <v>459.39</v>
      </c>
      <c r="J170" s="7">
        <v>18</v>
      </c>
      <c r="K170" s="7">
        <v>1.7809999999999999</v>
      </c>
      <c r="L170" s="31">
        <f t="shared" si="32"/>
        <v>308.69958101737376</v>
      </c>
      <c r="M170" s="30">
        <f t="shared" si="37"/>
        <v>140.02377468910021</v>
      </c>
      <c r="N170" s="30">
        <f t="shared" si="38"/>
        <v>1012.7815854017999</v>
      </c>
    </row>
    <row r="171" spans="1:14" hidden="1" x14ac:dyDescent="0.45">
      <c r="A171" s="44">
        <v>20</v>
      </c>
      <c r="B171" s="8"/>
      <c r="C171" s="50" t="s">
        <v>16</v>
      </c>
      <c r="D171" s="8">
        <v>5</v>
      </c>
      <c r="E171" s="18" t="str">
        <f t="shared" si="31"/>
        <v>5</v>
      </c>
      <c r="F171" s="8">
        <v>500</v>
      </c>
      <c r="G171" s="36">
        <v>508</v>
      </c>
      <c r="H171" s="29">
        <f t="shared" si="35"/>
        <v>4.7751999999999999</v>
      </c>
      <c r="I171" s="29">
        <v>59.32</v>
      </c>
      <c r="J171" s="7">
        <v>20</v>
      </c>
      <c r="K171" s="7">
        <v>0.188</v>
      </c>
      <c r="L171" s="31">
        <f t="shared" si="32"/>
        <v>39.861684289929279</v>
      </c>
      <c r="M171" s="30">
        <f t="shared" si="37"/>
        <v>18.080955864423309</v>
      </c>
      <c r="N171" s="30">
        <f t="shared" si="38"/>
        <v>130.77821381839999</v>
      </c>
    </row>
    <row r="172" spans="1:14" hidden="1" x14ac:dyDescent="0.45">
      <c r="A172" s="44">
        <v>20</v>
      </c>
      <c r="B172" s="8"/>
      <c r="C172" s="50" t="s">
        <v>16</v>
      </c>
      <c r="D172" s="8">
        <v>10</v>
      </c>
      <c r="E172" s="18" t="str">
        <f t="shared" si="31"/>
        <v>10</v>
      </c>
      <c r="F172" s="8">
        <v>500</v>
      </c>
      <c r="G172" s="34">
        <v>508</v>
      </c>
      <c r="H172" s="9">
        <f t="shared" si="35"/>
        <v>6.35</v>
      </c>
      <c r="I172" s="9">
        <v>78.56</v>
      </c>
      <c r="J172" s="7">
        <v>20</v>
      </c>
      <c r="K172" s="7">
        <v>0.25</v>
      </c>
      <c r="L172" s="11">
        <f t="shared" si="32"/>
        <v>52.790524575469398</v>
      </c>
      <c r="M172" s="10">
        <f t="shared" si="37"/>
        <v>23.945379175810778</v>
      </c>
      <c r="N172" s="10">
        <f t="shared" si="38"/>
        <v>173.19515302720001</v>
      </c>
    </row>
    <row r="173" spans="1:14" hidden="1" x14ac:dyDescent="0.45">
      <c r="A173" s="44">
        <v>20</v>
      </c>
      <c r="B173" s="8" t="s">
        <v>9</v>
      </c>
      <c r="C173" s="50" t="s">
        <v>16</v>
      </c>
      <c r="D173" s="8">
        <v>20</v>
      </c>
      <c r="E173" s="18" t="str">
        <f t="shared" ref="E173:E174" si="39">CONCATENATE(B173,C173,D173)</f>
        <v>STD 20</v>
      </c>
      <c r="F173" s="8">
        <v>500</v>
      </c>
      <c r="G173" s="34">
        <v>508</v>
      </c>
      <c r="H173" s="9">
        <f t="shared" si="35"/>
        <v>9.5249999999999986</v>
      </c>
      <c r="I173" s="9">
        <v>117.15</v>
      </c>
      <c r="J173" s="7">
        <v>20</v>
      </c>
      <c r="K173" s="7">
        <v>0.375</v>
      </c>
      <c r="L173" s="11">
        <f t="shared" si="32"/>
        <v>78.722122632589603</v>
      </c>
      <c r="M173" s="10">
        <f t="shared" si="37"/>
        <v>35.707754206291149</v>
      </c>
      <c r="N173" s="10">
        <f t="shared" si="38"/>
        <v>258.27153993299999</v>
      </c>
    </row>
    <row r="174" spans="1:14" hidden="1" x14ac:dyDescent="0.45">
      <c r="A174" s="44">
        <v>20</v>
      </c>
      <c r="B174" s="8" t="s">
        <v>10</v>
      </c>
      <c r="C174" s="50" t="s">
        <v>16</v>
      </c>
      <c r="D174" s="8">
        <v>30</v>
      </c>
      <c r="E174" s="18" t="str">
        <f t="shared" si="39"/>
        <v>XS 30</v>
      </c>
      <c r="F174" s="8">
        <v>500</v>
      </c>
      <c r="G174" s="34">
        <v>508</v>
      </c>
      <c r="H174" s="9">
        <f t="shared" si="35"/>
        <v>12.7</v>
      </c>
      <c r="I174" s="9">
        <v>155.13</v>
      </c>
      <c r="J174" s="7">
        <v>20</v>
      </c>
      <c r="K174" s="7">
        <v>0.5</v>
      </c>
      <c r="L174" s="11">
        <f t="shared" si="32"/>
        <v>104.24381463076077</v>
      </c>
      <c r="M174" s="10">
        <f t="shared" si="37"/>
        <v>47.284198975859546</v>
      </c>
      <c r="N174" s="10">
        <f t="shared" si="38"/>
        <v>342.00310704059996</v>
      </c>
    </row>
    <row r="175" spans="1:14" hidden="1" x14ac:dyDescent="0.45">
      <c r="A175" s="44">
        <v>20</v>
      </c>
      <c r="B175" s="8"/>
      <c r="C175" s="50" t="s">
        <v>16</v>
      </c>
      <c r="D175" s="25">
        <v>40</v>
      </c>
      <c r="E175" s="18" t="str">
        <f t="shared" si="31"/>
        <v>40</v>
      </c>
      <c r="F175" s="8">
        <v>500</v>
      </c>
      <c r="G175" s="34">
        <v>508</v>
      </c>
      <c r="H175" s="26">
        <f t="shared" si="35"/>
        <v>15.087599999999998</v>
      </c>
      <c r="I175" s="26">
        <v>183.43</v>
      </c>
      <c r="J175" s="7">
        <v>20</v>
      </c>
      <c r="K175" s="24">
        <v>0.59399999999999997</v>
      </c>
      <c r="L175" s="11">
        <f t="shared" si="32"/>
        <v>123.26076785741282</v>
      </c>
      <c r="M175" s="27">
        <f t="shared" si="37"/>
        <v>55.910143867349426</v>
      </c>
      <c r="N175" s="27">
        <f t="shared" si="38"/>
        <v>404.39392718659997</v>
      </c>
    </row>
    <row r="176" spans="1:14" hidden="1" x14ac:dyDescent="0.45">
      <c r="A176" s="44">
        <v>20</v>
      </c>
      <c r="B176" s="8"/>
      <c r="C176" s="50" t="s">
        <v>16</v>
      </c>
      <c r="D176" s="25">
        <v>60</v>
      </c>
      <c r="E176" s="18" t="str">
        <f t="shared" si="31"/>
        <v>60</v>
      </c>
      <c r="F176" s="8">
        <v>500</v>
      </c>
      <c r="G176" s="34">
        <v>508</v>
      </c>
      <c r="H176" s="26">
        <f t="shared" si="35"/>
        <v>20.6248</v>
      </c>
      <c r="I176" s="26">
        <v>247.84</v>
      </c>
      <c r="J176" s="7">
        <v>20</v>
      </c>
      <c r="K176" s="24">
        <v>0.81200000000000006</v>
      </c>
      <c r="L176" s="11">
        <f t="shared" si="32"/>
        <v>166.54281581955618</v>
      </c>
      <c r="M176" s="27">
        <f t="shared" si="37"/>
        <v>75.542550597415257</v>
      </c>
      <c r="N176" s="27">
        <f t="shared" si="38"/>
        <v>546.39367014079994</v>
      </c>
    </row>
    <row r="177" spans="1:14" hidden="1" x14ac:dyDescent="0.45">
      <c r="A177" s="44">
        <v>20</v>
      </c>
      <c r="B177" s="8"/>
      <c r="C177" s="50" t="s">
        <v>16</v>
      </c>
      <c r="D177" s="25">
        <v>80</v>
      </c>
      <c r="E177" s="18" t="str">
        <f t="shared" si="31"/>
        <v>80</v>
      </c>
      <c r="F177" s="8">
        <v>500</v>
      </c>
      <c r="G177" s="34">
        <v>508</v>
      </c>
      <c r="H177" s="26">
        <f t="shared" si="35"/>
        <v>26.187399999999997</v>
      </c>
      <c r="I177" s="26">
        <v>311.19</v>
      </c>
      <c r="J177" s="7">
        <v>20</v>
      </c>
      <c r="K177" s="24">
        <v>1.0309999999999999</v>
      </c>
      <c r="L177" s="11">
        <f t="shared" si="32"/>
        <v>209.11256800713238</v>
      </c>
      <c r="M177" s="27">
        <f t="shared" si="37"/>
        <v>94.851865398683245</v>
      </c>
      <c r="N177" s="27">
        <f t="shared" si="38"/>
        <v>686.05651311779991</v>
      </c>
    </row>
    <row r="178" spans="1:14" hidden="1" x14ac:dyDescent="0.45">
      <c r="A178" s="44">
        <v>20</v>
      </c>
      <c r="B178" s="8"/>
      <c r="C178" s="50" t="s">
        <v>16</v>
      </c>
      <c r="D178" s="25">
        <v>100</v>
      </c>
      <c r="E178" s="18" t="str">
        <f t="shared" si="31"/>
        <v>100</v>
      </c>
      <c r="F178" s="8">
        <v>500</v>
      </c>
      <c r="G178" s="34">
        <v>508</v>
      </c>
      <c r="H178" s="26">
        <f t="shared" si="35"/>
        <v>32.537399999999998</v>
      </c>
      <c r="I178" s="26">
        <v>381.55</v>
      </c>
      <c r="J178" s="7">
        <v>20</v>
      </c>
      <c r="K178" s="24">
        <v>1.2809999999999999</v>
      </c>
      <c r="L178" s="11">
        <f t="shared" si="32"/>
        <v>256.39287998689343</v>
      </c>
      <c r="M178" s="27">
        <f t="shared" si="37"/>
        <v>116.29785418190686</v>
      </c>
      <c r="N178" s="27">
        <f t="shared" si="38"/>
        <v>841.17376066099996</v>
      </c>
    </row>
    <row r="179" spans="1:14" hidden="1" x14ac:dyDescent="0.45">
      <c r="A179" s="44">
        <v>20</v>
      </c>
      <c r="B179" s="8"/>
      <c r="C179" s="50" t="s">
        <v>16</v>
      </c>
      <c r="D179" s="25">
        <v>120</v>
      </c>
      <c r="E179" s="18" t="str">
        <f t="shared" si="31"/>
        <v>120</v>
      </c>
      <c r="F179" s="8">
        <v>500</v>
      </c>
      <c r="G179" s="34">
        <v>508</v>
      </c>
      <c r="H179" s="26">
        <f t="shared" ref="H179:H210" si="40">K179*25.4</f>
        <v>38.099999999999994</v>
      </c>
      <c r="I179" s="26">
        <v>441.52</v>
      </c>
      <c r="J179" s="7">
        <v>20</v>
      </c>
      <c r="K179" s="24">
        <v>1.5</v>
      </c>
      <c r="L179" s="11">
        <f t="shared" si="32"/>
        <v>296.69134942160446</v>
      </c>
      <c r="M179" s="27">
        <f t="shared" si="37"/>
        <v>134.57693245549865</v>
      </c>
      <c r="N179" s="27">
        <f t="shared" si="38"/>
        <v>973.38497918239989</v>
      </c>
    </row>
    <row r="180" spans="1:14" hidden="1" x14ac:dyDescent="0.45">
      <c r="A180" s="44">
        <v>20</v>
      </c>
      <c r="B180" s="8"/>
      <c r="C180" s="50" t="s">
        <v>16</v>
      </c>
      <c r="D180" s="25">
        <v>140</v>
      </c>
      <c r="E180" s="18" t="str">
        <f t="shared" si="31"/>
        <v>140</v>
      </c>
      <c r="F180" s="8">
        <v>500</v>
      </c>
      <c r="G180" s="34">
        <v>508</v>
      </c>
      <c r="H180" s="26">
        <f t="shared" si="40"/>
        <v>44.449999999999996</v>
      </c>
      <c r="I180" s="26">
        <v>508.15</v>
      </c>
      <c r="J180" s="7">
        <v>20</v>
      </c>
      <c r="K180" s="24">
        <v>1.75</v>
      </c>
      <c r="L180" s="11">
        <f t="shared" si="32"/>
        <v>341.46518664746401</v>
      </c>
      <c r="M180" s="27">
        <f t="shared" si="37"/>
        <v>154.88600341380149</v>
      </c>
      <c r="N180" s="27">
        <f t="shared" si="38"/>
        <v>1120.2789843529999</v>
      </c>
    </row>
    <row r="181" spans="1:14" hidden="1" x14ac:dyDescent="0.45">
      <c r="A181" s="44">
        <v>20</v>
      </c>
      <c r="B181" s="8"/>
      <c r="C181" s="50" t="s">
        <v>16</v>
      </c>
      <c r="D181" s="25">
        <v>160</v>
      </c>
      <c r="E181" s="18" t="str">
        <f t="shared" si="31"/>
        <v>160</v>
      </c>
      <c r="F181" s="8">
        <v>500</v>
      </c>
      <c r="G181" s="34">
        <v>508</v>
      </c>
      <c r="H181" s="26">
        <f t="shared" si="40"/>
        <v>50.012599999999999</v>
      </c>
      <c r="I181" s="26">
        <v>564.85</v>
      </c>
      <c r="J181" s="7">
        <v>20</v>
      </c>
      <c r="K181" s="24">
        <v>1.9690000000000001</v>
      </c>
      <c r="L181" s="11">
        <f t="shared" si="32"/>
        <v>379.56629081534987</v>
      </c>
      <c r="M181" s="27">
        <f t="shared" si="37"/>
        <v>172.16837356742258</v>
      </c>
      <c r="N181" s="27">
        <f t="shared" si="38"/>
        <v>1245.2810869069999</v>
      </c>
    </row>
    <row r="182" spans="1:14" hidden="1" x14ac:dyDescent="0.45">
      <c r="A182" s="45">
        <v>22</v>
      </c>
      <c r="B182" s="8"/>
      <c r="C182" s="50" t="s">
        <v>16</v>
      </c>
      <c r="D182" s="25">
        <v>5</v>
      </c>
      <c r="E182" s="18" t="str">
        <f t="shared" si="31"/>
        <v>5</v>
      </c>
      <c r="F182" s="25">
        <v>550</v>
      </c>
      <c r="G182" s="37">
        <v>559</v>
      </c>
      <c r="H182" s="26">
        <f t="shared" si="40"/>
        <v>4.7751999999999999</v>
      </c>
      <c r="I182" s="26">
        <v>65.33</v>
      </c>
      <c r="J182" s="24">
        <v>22</v>
      </c>
      <c r="K182" s="24">
        <v>0.188</v>
      </c>
      <c r="L182" s="11">
        <f t="shared" si="32"/>
        <v>43.900266936296013</v>
      </c>
      <c r="M182" s="27">
        <f t="shared" si="37"/>
        <v>19.912826139965862</v>
      </c>
      <c r="N182" s="27">
        <f t="shared" si="38"/>
        <v>144.02799576459998</v>
      </c>
    </row>
    <row r="183" spans="1:14" hidden="1" x14ac:dyDescent="0.45">
      <c r="A183" s="45">
        <v>22</v>
      </c>
      <c r="B183" s="8"/>
      <c r="C183" s="50" t="s">
        <v>16</v>
      </c>
      <c r="D183" s="25">
        <v>10</v>
      </c>
      <c r="E183" s="18" t="str">
        <f t="shared" si="31"/>
        <v>10</v>
      </c>
      <c r="F183" s="25">
        <v>550</v>
      </c>
      <c r="G183" s="37">
        <v>559</v>
      </c>
      <c r="H183" s="26">
        <f t="shared" si="40"/>
        <v>6.35</v>
      </c>
      <c r="I183" s="26">
        <v>86.55</v>
      </c>
      <c r="J183" s="24">
        <v>22</v>
      </c>
      <c r="K183" s="24">
        <v>0.25</v>
      </c>
      <c r="L183" s="11">
        <f t="shared" si="32"/>
        <v>58.159621970555953</v>
      </c>
      <c r="M183" s="27">
        <f t="shared" si="37"/>
        <v>26.380760790051205</v>
      </c>
      <c r="N183" s="27">
        <f t="shared" si="38"/>
        <v>190.81008776099998</v>
      </c>
    </row>
    <row r="184" spans="1:14" hidden="1" x14ac:dyDescent="0.45">
      <c r="A184" s="45">
        <v>22</v>
      </c>
      <c r="B184" s="25" t="s">
        <v>9</v>
      </c>
      <c r="C184" s="50" t="s">
        <v>16</v>
      </c>
      <c r="D184" s="25">
        <v>20</v>
      </c>
      <c r="E184" s="18" t="str">
        <f t="shared" ref="E184:E185" si="41">CONCATENATE(B184,C184,D184)</f>
        <v>STD 20</v>
      </c>
      <c r="F184" s="25">
        <v>550</v>
      </c>
      <c r="G184" s="37">
        <v>559</v>
      </c>
      <c r="H184" s="26">
        <f t="shared" si="40"/>
        <v>9.5249999999999986</v>
      </c>
      <c r="I184" s="26">
        <v>129.13999999999999</v>
      </c>
      <c r="J184" s="24">
        <v>22</v>
      </c>
      <c r="K184" s="24">
        <v>0.375</v>
      </c>
      <c r="L184" s="28">
        <f t="shared" si="32"/>
        <v>86.779128610948533</v>
      </c>
      <c r="M184" s="27">
        <f t="shared" si="37"/>
        <v>39.362350646183849</v>
      </c>
      <c r="N184" s="27">
        <f t="shared" si="38"/>
        <v>284.70496514679996</v>
      </c>
    </row>
    <row r="185" spans="1:14" hidden="1" x14ac:dyDescent="0.45">
      <c r="A185" s="45">
        <v>22</v>
      </c>
      <c r="B185" s="25" t="s">
        <v>10</v>
      </c>
      <c r="C185" s="50" t="s">
        <v>16</v>
      </c>
      <c r="D185" s="25">
        <v>30</v>
      </c>
      <c r="E185" s="18" t="str">
        <f t="shared" si="41"/>
        <v>XS 30</v>
      </c>
      <c r="F185" s="25">
        <v>550</v>
      </c>
      <c r="G185" s="37">
        <v>559</v>
      </c>
      <c r="H185" s="26">
        <f t="shared" si="40"/>
        <v>12.7</v>
      </c>
      <c r="I185" s="26">
        <v>171.1</v>
      </c>
      <c r="J185" s="24">
        <v>22</v>
      </c>
      <c r="K185" s="24">
        <v>0.5</v>
      </c>
      <c r="L185" s="28">
        <f t="shared" si="32"/>
        <v>114.97528964947573</v>
      </c>
      <c r="M185" s="27">
        <f t="shared" si="37"/>
        <v>52.151914167276267</v>
      </c>
      <c r="N185" s="27">
        <f t="shared" si="38"/>
        <v>377.21093028199999</v>
      </c>
    </row>
    <row r="186" spans="1:14" hidden="1" x14ac:dyDescent="0.45">
      <c r="A186" s="45">
        <v>22</v>
      </c>
      <c r="B186" s="8"/>
      <c r="C186" s="50" t="s">
        <v>16</v>
      </c>
      <c r="D186" s="25">
        <v>60</v>
      </c>
      <c r="E186" s="18" t="str">
        <f t="shared" ref="E186:E242" si="42">CONCATENATE(B186,D186)</f>
        <v>60</v>
      </c>
      <c r="F186" s="25">
        <v>550</v>
      </c>
      <c r="G186" s="37">
        <v>559</v>
      </c>
      <c r="H186" s="26">
        <f t="shared" si="40"/>
        <v>22.224999999999998</v>
      </c>
      <c r="I186" s="26">
        <v>294.27</v>
      </c>
      <c r="J186" s="24">
        <v>22</v>
      </c>
      <c r="K186" s="24">
        <v>0.875</v>
      </c>
      <c r="L186" s="28">
        <f t="shared" si="32"/>
        <v>197.74271469989023</v>
      </c>
      <c r="M186" s="27">
        <f t="shared" si="37"/>
        <v>89.694586686174091</v>
      </c>
      <c r="N186" s="27">
        <f t="shared" si="38"/>
        <v>648.7542983873999</v>
      </c>
    </row>
    <row r="187" spans="1:14" hidden="1" x14ac:dyDescent="0.45">
      <c r="A187" s="45">
        <v>22</v>
      </c>
      <c r="B187" s="8"/>
      <c r="C187" s="50" t="s">
        <v>16</v>
      </c>
      <c r="D187" s="25">
        <v>80</v>
      </c>
      <c r="E187" s="18" t="str">
        <f t="shared" si="42"/>
        <v>80</v>
      </c>
      <c r="F187" s="25">
        <v>550</v>
      </c>
      <c r="G187" s="37">
        <v>559</v>
      </c>
      <c r="H187" s="26">
        <f t="shared" si="40"/>
        <v>28.574999999999999</v>
      </c>
      <c r="I187" s="26">
        <v>373.85</v>
      </c>
      <c r="J187" s="24">
        <v>22</v>
      </c>
      <c r="K187" s="24">
        <v>1.125</v>
      </c>
      <c r="L187" s="28">
        <f t="shared" si="32"/>
        <v>251.2186559640941</v>
      </c>
      <c r="M187" s="27">
        <f t="shared" si="37"/>
        <v>113.95086564252621</v>
      </c>
      <c r="N187" s="27">
        <f t="shared" si="38"/>
        <v>824.19816648699998</v>
      </c>
    </row>
    <row r="188" spans="1:14" hidden="1" x14ac:dyDescent="0.45">
      <c r="A188" s="45">
        <v>22</v>
      </c>
      <c r="B188" s="8"/>
      <c r="C188" s="50" t="s">
        <v>16</v>
      </c>
      <c r="D188" s="25">
        <v>100</v>
      </c>
      <c r="E188" s="18" t="str">
        <f t="shared" si="42"/>
        <v>100</v>
      </c>
      <c r="F188" s="25">
        <v>550</v>
      </c>
      <c r="G188" s="37">
        <v>559</v>
      </c>
      <c r="H188" s="26">
        <f t="shared" si="40"/>
        <v>34.924999999999997</v>
      </c>
      <c r="I188" s="26">
        <v>451.45</v>
      </c>
      <c r="J188" s="24">
        <v>22</v>
      </c>
      <c r="K188" s="24">
        <v>1.375</v>
      </c>
      <c r="L188" s="28">
        <f t="shared" si="32"/>
        <v>303.36408247957814</v>
      </c>
      <c r="M188" s="27">
        <f t="shared" si="37"/>
        <v>137.60363326018043</v>
      </c>
      <c r="N188" s="27">
        <f t="shared" si="38"/>
        <v>995.27688179899997</v>
      </c>
    </row>
    <row r="189" spans="1:14" hidden="1" x14ac:dyDescent="0.45">
      <c r="A189" s="45">
        <v>22</v>
      </c>
      <c r="B189" s="8"/>
      <c r="C189" s="50" t="s">
        <v>16</v>
      </c>
      <c r="D189" s="25">
        <v>120</v>
      </c>
      <c r="E189" s="18" t="str">
        <f t="shared" si="42"/>
        <v>120</v>
      </c>
      <c r="F189" s="25">
        <v>550</v>
      </c>
      <c r="G189" s="37">
        <v>559</v>
      </c>
      <c r="H189" s="26">
        <f t="shared" si="40"/>
        <v>41.274999999999999</v>
      </c>
      <c r="I189" s="26">
        <v>527.04999999999995</v>
      </c>
      <c r="J189" s="24">
        <v>22</v>
      </c>
      <c r="K189" s="24">
        <v>1.625</v>
      </c>
      <c r="L189" s="28">
        <f t="shared" si="32"/>
        <v>354.16555470342598</v>
      </c>
      <c r="M189" s="27">
        <f t="shared" si="37"/>
        <v>160.6467934650085</v>
      </c>
      <c r="N189" s="27">
        <f t="shared" si="38"/>
        <v>1161.9463518709999</v>
      </c>
    </row>
    <row r="190" spans="1:14" hidden="1" x14ac:dyDescent="0.45">
      <c r="A190" s="45">
        <v>22</v>
      </c>
      <c r="B190" s="8"/>
      <c r="C190" s="50" t="s">
        <v>16</v>
      </c>
      <c r="D190" s="25">
        <v>140</v>
      </c>
      <c r="E190" s="18" t="str">
        <f t="shared" si="42"/>
        <v>140</v>
      </c>
      <c r="F190" s="25">
        <v>550</v>
      </c>
      <c r="G190" s="37">
        <v>559</v>
      </c>
      <c r="H190" s="26">
        <f t="shared" si="40"/>
        <v>47.625</v>
      </c>
      <c r="I190" s="26">
        <v>600.66999999999996</v>
      </c>
      <c r="J190" s="24">
        <v>22</v>
      </c>
      <c r="K190" s="24">
        <v>1.875</v>
      </c>
      <c r="L190" s="28">
        <f t="shared" si="32"/>
        <v>403.63651217855397</v>
      </c>
      <c r="M190" s="27">
        <f t="shared" si="37"/>
        <v>183.08644233113873</v>
      </c>
      <c r="N190" s="27">
        <f t="shared" si="38"/>
        <v>1324.2506691553999</v>
      </c>
    </row>
    <row r="191" spans="1:14" hidden="1" x14ac:dyDescent="0.45">
      <c r="A191" s="45">
        <v>22</v>
      </c>
      <c r="B191" s="8"/>
      <c r="C191" s="50" t="s">
        <v>16</v>
      </c>
      <c r="D191" s="25">
        <v>160</v>
      </c>
      <c r="E191" s="18" t="str">
        <f t="shared" si="42"/>
        <v>160</v>
      </c>
      <c r="F191" s="25">
        <v>550</v>
      </c>
      <c r="G191" s="37">
        <v>559</v>
      </c>
      <c r="H191" s="26">
        <f t="shared" si="40"/>
        <v>53.974999999999994</v>
      </c>
      <c r="I191" s="26">
        <v>672.3</v>
      </c>
      <c r="J191" s="24">
        <v>22</v>
      </c>
      <c r="K191" s="24">
        <v>2.125</v>
      </c>
      <c r="L191" s="28">
        <f t="shared" si="32"/>
        <v>451.77023513350395</v>
      </c>
      <c r="M191" s="27">
        <f t="shared" si="37"/>
        <v>204.91953182150692</v>
      </c>
      <c r="N191" s="27">
        <f t="shared" si="38"/>
        <v>1482.1677874259999</v>
      </c>
    </row>
    <row r="192" spans="1:14" hidden="1" x14ac:dyDescent="0.45">
      <c r="A192" s="45">
        <v>24</v>
      </c>
      <c r="B192" s="8"/>
      <c r="C192" s="50" t="s">
        <v>16</v>
      </c>
      <c r="D192" s="25">
        <v>5</v>
      </c>
      <c r="E192" s="18" t="str">
        <f t="shared" si="42"/>
        <v>5</v>
      </c>
      <c r="F192" s="25">
        <v>600</v>
      </c>
      <c r="G192" s="37">
        <v>610</v>
      </c>
      <c r="H192" s="26">
        <f t="shared" si="40"/>
        <v>5.5371999999999995</v>
      </c>
      <c r="I192" s="26">
        <v>82.58</v>
      </c>
      <c r="J192" s="24">
        <v>24</v>
      </c>
      <c r="K192" s="24">
        <v>0.218</v>
      </c>
      <c r="L192" s="28">
        <f t="shared" si="32"/>
        <v>55.491872701658131</v>
      </c>
      <c r="M192" s="27">
        <f t="shared" si="37"/>
        <v>25.170690075591317</v>
      </c>
      <c r="N192" s="27">
        <f t="shared" si="38"/>
        <v>182.0577359596</v>
      </c>
    </row>
    <row r="193" spans="1:14" hidden="1" x14ac:dyDescent="0.45">
      <c r="A193" s="45">
        <v>24</v>
      </c>
      <c r="B193" s="8"/>
      <c r="C193" s="50" t="s">
        <v>16</v>
      </c>
      <c r="D193" s="25">
        <v>10</v>
      </c>
      <c r="E193" s="18" t="str">
        <f t="shared" si="42"/>
        <v>10</v>
      </c>
      <c r="F193" s="25">
        <v>600</v>
      </c>
      <c r="G193" s="37">
        <v>610</v>
      </c>
      <c r="H193" s="26">
        <f t="shared" si="40"/>
        <v>6.35</v>
      </c>
      <c r="I193" s="26">
        <v>94.53</v>
      </c>
      <c r="J193" s="24">
        <v>24</v>
      </c>
      <c r="K193" s="24">
        <v>0.25</v>
      </c>
      <c r="L193" s="28">
        <f t="shared" si="32"/>
        <v>63.521999594184337</v>
      </c>
      <c r="M193" s="27">
        <f t="shared" si="37"/>
        <v>28.813094367227503</v>
      </c>
      <c r="N193" s="27">
        <f t="shared" si="38"/>
        <v>208.40297626859999</v>
      </c>
    </row>
    <row r="194" spans="1:14" hidden="1" x14ac:dyDescent="0.45">
      <c r="A194" s="45">
        <v>24</v>
      </c>
      <c r="B194" s="25" t="s">
        <v>9</v>
      </c>
      <c r="C194" s="50" t="s">
        <v>16</v>
      </c>
      <c r="D194" s="25">
        <v>20</v>
      </c>
      <c r="E194" s="18" t="str">
        <f>CONCATENATE(B194,C194,D194)</f>
        <v>STD 20</v>
      </c>
      <c r="F194" s="25">
        <v>600</v>
      </c>
      <c r="G194" s="37">
        <v>610</v>
      </c>
      <c r="H194" s="26">
        <f t="shared" si="40"/>
        <v>9.5249999999999986</v>
      </c>
      <c r="I194" s="26">
        <v>141.12</v>
      </c>
      <c r="J194" s="24">
        <v>24</v>
      </c>
      <c r="K194" s="24">
        <v>0.375</v>
      </c>
      <c r="L194" s="28">
        <f t="shared" si="32"/>
        <v>94.829414817849297</v>
      </c>
      <c r="M194" s="27">
        <f t="shared" si="37"/>
        <v>43.013899049012437</v>
      </c>
      <c r="N194" s="27">
        <f t="shared" si="38"/>
        <v>311.11634413439998</v>
      </c>
    </row>
    <row r="195" spans="1:14" hidden="1" x14ac:dyDescent="0.45">
      <c r="A195" s="45">
        <v>24</v>
      </c>
      <c r="B195" s="25" t="s">
        <v>10</v>
      </c>
      <c r="C195" s="50" t="s">
        <v>16</v>
      </c>
      <c r="D195" s="8"/>
      <c r="E195" s="18" t="str">
        <f t="shared" si="42"/>
        <v>XS</v>
      </c>
      <c r="F195" s="25">
        <v>600</v>
      </c>
      <c r="G195" s="37">
        <v>610</v>
      </c>
      <c r="H195" s="26">
        <f t="shared" si="40"/>
        <v>12.7</v>
      </c>
      <c r="I195" s="26">
        <v>187.07</v>
      </c>
      <c r="J195" s="24">
        <v>24</v>
      </c>
      <c r="K195" s="24">
        <v>0.5</v>
      </c>
      <c r="L195" s="28">
        <f t="shared" si="32"/>
        <v>125.70676466819067</v>
      </c>
      <c r="M195" s="27">
        <f t="shared" si="37"/>
        <v>57.019629358692995</v>
      </c>
      <c r="N195" s="27">
        <f t="shared" si="38"/>
        <v>412.41875352339997</v>
      </c>
    </row>
    <row r="196" spans="1:14" hidden="1" x14ac:dyDescent="0.45">
      <c r="A196" s="45">
        <v>24</v>
      </c>
      <c r="B196" s="8"/>
      <c r="C196" s="50" t="s">
        <v>16</v>
      </c>
      <c r="D196" s="25">
        <v>30</v>
      </c>
      <c r="E196" s="18" t="str">
        <f t="shared" si="42"/>
        <v>30</v>
      </c>
      <c r="F196" s="25">
        <v>600</v>
      </c>
      <c r="G196" s="37">
        <v>610</v>
      </c>
      <c r="H196" s="26">
        <f t="shared" si="40"/>
        <v>14.274800000000001</v>
      </c>
      <c r="I196" s="26">
        <v>209.65</v>
      </c>
      <c r="J196" s="24">
        <v>24</v>
      </c>
      <c r="K196" s="24">
        <v>0.56200000000000006</v>
      </c>
      <c r="L196" s="28">
        <f t="shared" ref="L196:L242" si="43">N196/3.2808</f>
        <v>140.88000862076322</v>
      </c>
      <c r="M196" s="27">
        <f t="shared" si="37"/>
        <v>63.902097049500121</v>
      </c>
      <c r="N196" s="27">
        <f t="shared" si="38"/>
        <v>462.19913228299998</v>
      </c>
    </row>
    <row r="197" spans="1:14" hidden="1" x14ac:dyDescent="0.45">
      <c r="A197" s="45">
        <v>24</v>
      </c>
      <c r="B197" s="8"/>
      <c r="C197" s="50" t="s">
        <v>16</v>
      </c>
      <c r="D197" s="25">
        <v>40</v>
      </c>
      <c r="E197" s="18" t="str">
        <f t="shared" si="42"/>
        <v>40</v>
      </c>
      <c r="F197" s="25">
        <v>600</v>
      </c>
      <c r="G197" s="37">
        <v>610</v>
      </c>
      <c r="H197" s="26">
        <f t="shared" si="40"/>
        <v>17.475199999999997</v>
      </c>
      <c r="I197" s="26">
        <v>255.43</v>
      </c>
      <c r="J197" s="24">
        <v>24</v>
      </c>
      <c r="K197" s="24">
        <v>0.68799999999999994</v>
      </c>
      <c r="L197" s="28">
        <f t="shared" si="43"/>
        <v>171.6431223563155</v>
      </c>
      <c r="M197" s="27">
        <f t="shared" si="37"/>
        <v>77.856010729090471</v>
      </c>
      <c r="N197" s="27">
        <f t="shared" si="38"/>
        <v>563.12675582659995</v>
      </c>
    </row>
    <row r="198" spans="1:14" hidden="1" x14ac:dyDescent="0.45">
      <c r="A198" s="45">
        <v>24</v>
      </c>
      <c r="B198" s="8"/>
      <c r="C198" s="50" t="s">
        <v>16</v>
      </c>
      <c r="D198" s="25">
        <v>60</v>
      </c>
      <c r="E198" s="18" t="str">
        <f t="shared" si="42"/>
        <v>60</v>
      </c>
      <c r="F198" s="25">
        <v>600</v>
      </c>
      <c r="G198" s="37">
        <v>610</v>
      </c>
      <c r="H198" s="26">
        <f t="shared" si="40"/>
        <v>24.612599999999997</v>
      </c>
      <c r="I198" s="26">
        <v>355.28</v>
      </c>
      <c r="J198" s="24">
        <v>24</v>
      </c>
      <c r="K198" s="24">
        <v>0.96899999999999997</v>
      </c>
      <c r="L198" s="28">
        <f t="shared" si="43"/>
        <v>238.74004036625209</v>
      </c>
      <c r="M198" s="27">
        <f t="shared" si="37"/>
        <v>108.29066081443548</v>
      </c>
      <c r="N198" s="27">
        <f t="shared" si="38"/>
        <v>783.25832443359991</v>
      </c>
    </row>
    <row r="199" spans="1:14" hidden="1" x14ac:dyDescent="0.45">
      <c r="A199" s="45">
        <v>24</v>
      </c>
      <c r="B199" s="8"/>
      <c r="C199" s="50" t="s">
        <v>16</v>
      </c>
      <c r="D199" s="25">
        <v>80</v>
      </c>
      <c r="E199" s="18" t="str">
        <f t="shared" si="42"/>
        <v>80</v>
      </c>
      <c r="F199" s="25">
        <v>600</v>
      </c>
      <c r="G199" s="37">
        <v>610</v>
      </c>
      <c r="H199" s="26">
        <f t="shared" si="40"/>
        <v>30.962600000000002</v>
      </c>
      <c r="I199" s="26">
        <v>442.11</v>
      </c>
      <c r="J199" s="24">
        <v>24</v>
      </c>
      <c r="K199" s="24">
        <v>1.2190000000000001</v>
      </c>
      <c r="L199" s="28">
        <f t="shared" si="43"/>
        <v>297.08781593763712</v>
      </c>
      <c r="M199" s="27">
        <f t="shared" si="37"/>
        <v>134.75676664228237</v>
      </c>
      <c r="N199" s="27">
        <f t="shared" si="38"/>
        <v>974.68570652819994</v>
      </c>
    </row>
    <row r="200" spans="1:14" hidden="1" x14ac:dyDescent="0.45">
      <c r="A200" s="45">
        <v>24</v>
      </c>
      <c r="B200" s="8"/>
      <c r="C200" s="50" t="s">
        <v>16</v>
      </c>
      <c r="D200" s="25">
        <v>100</v>
      </c>
      <c r="E200" s="18" t="str">
        <f t="shared" si="42"/>
        <v>100</v>
      </c>
      <c r="F200" s="25">
        <v>600</v>
      </c>
      <c r="G200" s="37">
        <v>610</v>
      </c>
      <c r="H200" s="26">
        <f t="shared" si="40"/>
        <v>38.887399999999992</v>
      </c>
      <c r="I200" s="26">
        <v>547.74</v>
      </c>
      <c r="J200" s="24">
        <v>24</v>
      </c>
      <c r="K200" s="24">
        <v>1.5309999999999999</v>
      </c>
      <c r="L200" s="28">
        <f t="shared" si="43"/>
        <v>368.06876185040232</v>
      </c>
      <c r="M200" s="27">
        <f t="shared" si="37"/>
        <v>166.95318215069494</v>
      </c>
      <c r="N200" s="27">
        <f t="shared" si="38"/>
        <v>1207.5599938788</v>
      </c>
    </row>
    <row r="201" spans="1:14" hidden="1" x14ac:dyDescent="0.45">
      <c r="A201" s="45">
        <v>24</v>
      </c>
      <c r="B201" s="8"/>
      <c r="C201" s="50" t="s">
        <v>16</v>
      </c>
      <c r="D201" s="25">
        <v>120</v>
      </c>
      <c r="E201" s="18" t="str">
        <f t="shared" si="42"/>
        <v>120</v>
      </c>
      <c r="F201" s="25">
        <v>600</v>
      </c>
      <c r="G201" s="37">
        <v>610</v>
      </c>
      <c r="H201" s="26">
        <f t="shared" si="40"/>
        <v>46.024799999999999</v>
      </c>
      <c r="I201" s="26">
        <v>640.07000000000005</v>
      </c>
      <c r="J201" s="24">
        <v>24</v>
      </c>
      <c r="K201" s="24">
        <v>1.8120000000000001</v>
      </c>
      <c r="L201" s="28">
        <f t="shared" si="43"/>
        <v>430.11241172378686</v>
      </c>
      <c r="M201" s="27">
        <f t="shared" si="37"/>
        <v>195.09570836381371</v>
      </c>
      <c r="N201" s="27">
        <f t="shared" si="38"/>
        <v>1411.1128003834001</v>
      </c>
    </row>
    <row r="202" spans="1:14" hidden="1" x14ac:dyDescent="0.45">
      <c r="A202" s="45">
        <v>24</v>
      </c>
      <c r="B202" s="8"/>
      <c r="C202" s="50" t="s">
        <v>16</v>
      </c>
      <c r="D202" s="25">
        <v>140</v>
      </c>
      <c r="E202" s="18" t="str">
        <f t="shared" si="42"/>
        <v>140</v>
      </c>
      <c r="F202" s="25">
        <v>600</v>
      </c>
      <c r="G202" s="37">
        <v>610</v>
      </c>
      <c r="H202" s="26">
        <f t="shared" si="40"/>
        <v>52.374799999999993</v>
      </c>
      <c r="I202" s="26">
        <v>720.19</v>
      </c>
      <c r="J202" s="24">
        <v>24</v>
      </c>
      <c r="K202" s="24">
        <v>2.0619999999999998</v>
      </c>
      <c r="L202" s="28">
        <f t="shared" si="43"/>
        <v>483.95122064673245</v>
      </c>
      <c r="M202" s="27">
        <f t="shared" si="37"/>
        <v>219.51658132162888</v>
      </c>
      <c r="N202" s="27">
        <f t="shared" si="38"/>
        <v>1587.7471646977999</v>
      </c>
    </row>
    <row r="203" spans="1:14" hidden="1" x14ac:dyDescent="0.45">
      <c r="A203" s="45">
        <v>24</v>
      </c>
      <c r="B203" s="8"/>
      <c r="C203" s="50" t="s">
        <v>16</v>
      </c>
      <c r="D203" s="25">
        <v>160</v>
      </c>
      <c r="E203" s="18" t="str">
        <f t="shared" si="42"/>
        <v>160</v>
      </c>
      <c r="F203" s="25">
        <v>600</v>
      </c>
      <c r="G203" s="37">
        <v>610</v>
      </c>
      <c r="H203" s="26">
        <f t="shared" si="40"/>
        <v>59.537599999999991</v>
      </c>
      <c r="I203" s="26">
        <v>808.27</v>
      </c>
      <c r="J203" s="24">
        <v>24</v>
      </c>
      <c r="K203" s="24">
        <v>2.3439999999999999</v>
      </c>
      <c r="L203" s="28">
        <f t="shared" si="43"/>
        <v>543.1389676503901</v>
      </c>
      <c r="M203" s="27">
        <f t="shared" si="37"/>
        <v>246.36369178249205</v>
      </c>
      <c r="N203" s="27">
        <f t="shared" si="38"/>
        <v>1781.9303250674</v>
      </c>
    </row>
    <row r="204" spans="1:14" hidden="1" x14ac:dyDescent="0.45">
      <c r="A204" s="45">
        <v>26</v>
      </c>
      <c r="B204" s="8"/>
      <c r="C204" s="50" t="s">
        <v>16</v>
      </c>
      <c r="D204" s="25">
        <v>10</v>
      </c>
      <c r="E204" s="18" t="str">
        <f t="shared" si="42"/>
        <v>10</v>
      </c>
      <c r="F204" s="25">
        <v>650</v>
      </c>
      <c r="G204" s="37">
        <v>660</v>
      </c>
      <c r="H204" s="26">
        <f t="shared" si="40"/>
        <v>7.9247999999999994</v>
      </c>
      <c r="I204" s="26">
        <v>127.36</v>
      </c>
      <c r="J204" s="24">
        <v>26</v>
      </c>
      <c r="K204" s="24">
        <v>0.312</v>
      </c>
      <c r="L204" s="28">
        <f t="shared" si="43"/>
        <v>85.583009291392344</v>
      </c>
      <c r="M204" s="27">
        <f t="shared" si="37"/>
        <v>38.819800048768592</v>
      </c>
      <c r="N204" s="27">
        <f t="shared" si="38"/>
        <v>280.78073688320001</v>
      </c>
    </row>
    <row r="205" spans="1:14" hidden="1" x14ac:dyDescent="0.45">
      <c r="A205" s="45">
        <v>26</v>
      </c>
      <c r="B205" s="25" t="s">
        <v>9</v>
      </c>
      <c r="C205" s="50" t="s">
        <v>16</v>
      </c>
      <c r="D205" s="8"/>
      <c r="E205" s="18" t="str">
        <f t="shared" si="42"/>
        <v>STD</v>
      </c>
      <c r="F205" s="25">
        <v>650</v>
      </c>
      <c r="G205" s="37">
        <v>660</v>
      </c>
      <c r="H205" s="26">
        <f t="shared" si="40"/>
        <v>9.5249999999999986</v>
      </c>
      <c r="I205" s="26">
        <v>152.88</v>
      </c>
      <c r="J205" s="24">
        <v>26</v>
      </c>
      <c r="K205" s="24">
        <v>0.375</v>
      </c>
      <c r="L205" s="28">
        <f t="shared" si="43"/>
        <v>102.73186605267007</v>
      </c>
      <c r="M205" s="27">
        <f t="shared" si="37"/>
        <v>46.598390636430132</v>
      </c>
      <c r="N205" s="27">
        <f t="shared" si="38"/>
        <v>337.04270614559999</v>
      </c>
    </row>
    <row r="206" spans="1:14" hidden="1" x14ac:dyDescent="0.45">
      <c r="A206" s="45">
        <v>26</v>
      </c>
      <c r="B206" s="25" t="s">
        <v>10</v>
      </c>
      <c r="C206" s="50" t="s">
        <v>16</v>
      </c>
      <c r="D206" s="25">
        <v>20</v>
      </c>
      <c r="E206" s="18" t="str">
        <f>CONCATENATE(B206,C206,D206)</f>
        <v>XS 20</v>
      </c>
      <c r="F206" s="25">
        <v>650</v>
      </c>
      <c r="G206" s="37">
        <v>660</v>
      </c>
      <c r="H206" s="26">
        <f t="shared" si="40"/>
        <v>12.7</v>
      </c>
      <c r="I206" s="26">
        <v>202.74</v>
      </c>
      <c r="J206" s="24">
        <v>26</v>
      </c>
      <c r="K206" s="24">
        <v>0.5</v>
      </c>
      <c r="L206" s="28">
        <f t="shared" si="43"/>
        <v>136.23664654316019</v>
      </c>
      <c r="M206" s="27">
        <f t="shared" si="37"/>
        <v>61.79590343818581</v>
      </c>
      <c r="N206" s="27">
        <f t="shared" si="38"/>
        <v>446.96518997879997</v>
      </c>
    </row>
    <row r="207" spans="1:14" hidden="1" x14ac:dyDescent="0.45">
      <c r="A207" s="45">
        <v>28</v>
      </c>
      <c r="B207" s="8"/>
      <c r="C207" s="50" t="s">
        <v>16</v>
      </c>
      <c r="D207" s="25">
        <v>10</v>
      </c>
      <c r="E207" s="18" t="str">
        <f t="shared" si="42"/>
        <v>10</v>
      </c>
      <c r="F207" s="25">
        <v>700</v>
      </c>
      <c r="G207" s="37">
        <v>711</v>
      </c>
      <c r="H207" s="26">
        <f t="shared" si="40"/>
        <v>7.9247999999999994</v>
      </c>
      <c r="I207" s="26">
        <v>137.32</v>
      </c>
      <c r="J207" s="24">
        <v>28</v>
      </c>
      <c r="K207" s="24">
        <v>0.312</v>
      </c>
      <c r="L207" s="28">
        <f t="shared" si="43"/>
        <v>92.275901663740541</v>
      </c>
      <c r="M207" s="27">
        <f t="shared" si="37"/>
        <v>41.855644964642764</v>
      </c>
      <c r="N207" s="27">
        <f t="shared" si="38"/>
        <v>302.73877817839997</v>
      </c>
    </row>
    <row r="208" spans="1:14" hidden="1" x14ac:dyDescent="0.45">
      <c r="A208" s="45">
        <v>28</v>
      </c>
      <c r="B208" s="25" t="s">
        <v>9</v>
      </c>
      <c r="C208" s="50" t="s">
        <v>16</v>
      </c>
      <c r="D208" s="8"/>
      <c r="E208" s="18" t="str">
        <f t="shared" si="42"/>
        <v>STD</v>
      </c>
      <c r="F208" s="25">
        <v>700</v>
      </c>
      <c r="G208" s="37">
        <v>711</v>
      </c>
      <c r="H208" s="26">
        <f t="shared" si="40"/>
        <v>9.5249999999999986</v>
      </c>
      <c r="I208" s="26">
        <v>164.86</v>
      </c>
      <c r="J208" s="24">
        <v>28</v>
      </c>
      <c r="K208" s="24">
        <v>0.375</v>
      </c>
      <c r="L208" s="28">
        <f t="shared" si="43"/>
        <v>110.78215225957084</v>
      </c>
      <c r="M208" s="27">
        <f t="shared" si="37"/>
        <v>50.24993903925872</v>
      </c>
      <c r="N208" s="27">
        <f t="shared" si="38"/>
        <v>363.45408513320001</v>
      </c>
    </row>
    <row r="209" spans="1:14" hidden="1" x14ac:dyDescent="0.45">
      <c r="A209" s="45">
        <v>28</v>
      </c>
      <c r="B209" s="25" t="s">
        <v>10</v>
      </c>
      <c r="C209" s="50" t="s">
        <v>16</v>
      </c>
      <c r="D209" s="25">
        <v>20</v>
      </c>
      <c r="E209" s="18" t="str">
        <f>CONCATENATE(B209,C209,D209)</f>
        <v>XS 20</v>
      </c>
      <c r="F209" s="25">
        <v>700</v>
      </c>
      <c r="G209" s="37">
        <v>711</v>
      </c>
      <c r="H209" s="26">
        <f t="shared" si="40"/>
        <v>12.7</v>
      </c>
      <c r="I209" s="26">
        <v>218.71</v>
      </c>
      <c r="J209" s="24">
        <v>28</v>
      </c>
      <c r="K209" s="24">
        <v>0.5</v>
      </c>
      <c r="L209" s="28">
        <f t="shared" si="43"/>
        <v>146.96812156187514</v>
      </c>
      <c r="M209" s="27">
        <f t="shared" si="37"/>
        <v>66.663618629602539</v>
      </c>
      <c r="N209" s="27">
        <f t="shared" si="38"/>
        <v>482.1730132202</v>
      </c>
    </row>
    <row r="210" spans="1:14" hidden="1" x14ac:dyDescent="0.45">
      <c r="A210" s="45">
        <v>28</v>
      </c>
      <c r="B210" s="8"/>
      <c r="C210" s="50" t="s">
        <v>16</v>
      </c>
      <c r="D210" s="25">
        <v>30</v>
      </c>
      <c r="E210" s="18" t="str">
        <f t="shared" si="42"/>
        <v>30</v>
      </c>
      <c r="F210" s="25">
        <v>700</v>
      </c>
      <c r="G210" s="37">
        <v>711</v>
      </c>
      <c r="H210" s="26">
        <f t="shared" si="40"/>
        <v>15.875</v>
      </c>
      <c r="I210" s="26">
        <v>272.23</v>
      </c>
      <c r="J210" s="24">
        <v>28</v>
      </c>
      <c r="K210" s="24">
        <v>0.625</v>
      </c>
      <c r="L210" s="28">
        <f t="shared" si="43"/>
        <v>182.93233840605947</v>
      </c>
      <c r="M210" s="27">
        <f t="shared" si="37"/>
        <v>82.976712996830045</v>
      </c>
      <c r="N210" s="27">
        <f t="shared" si="38"/>
        <v>600.16441584259996</v>
      </c>
    </row>
    <row r="211" spans="1:14" hidden="1" x14ac:dyDescent="0.45">
      <c r="A211" s="45">
        <v>30</v>
      </c>
      <c r="B211" s="8"/>
      <c r="C211" s="50" t="s">
        <v>16</v>
      </c>
      <c r="D211" s="25">
        <v>5</v>
      </c>
      <c r="E211" s="18" t="str">
        <f t="shared" si="42"/>
        <v>5</v>
      </c>
      <c r="F211" s="25">
        <v>750</v>
      </c>
      <c r="G211" s="37">
        <v>762</v>
      </c>
      <c r="H211" s="26">
        <f t="shared" ref="H211:H242" si="44">K211*25.4</f>
        <v>6.35</v>
      </c>
      <c r="I211" s="26">
        <v>118.34</v>
      </c>
      <c r="J211" s="24">
        <v>30</v>
      </c>
      <c r="K211" s="24">
        <v>0.25</v>
      </c>
      <c r="L211" s="28">
        <f t="shared" si="43"/>
        <v>79.521775436113145</v>
      </c>
      <c r="M211" s="27">
        <f t="shared" si="37"/>
        <v>36.070470616922698</v>
      </c>
      <c r="N211" s="27">
        <f t="shared" si="38"/>
        <v>260.8950408508</v>
      </c>
    </row>
    <row r="212" spans="1:14" hidden="1" x14ac:dyDescent="0.45">
      <c r="A212" s="45">
        <v>30</v>
      </c>
      <c r="B212" s="8"/>
      <c r="C212" s="50" t="s">
        <v>16</v>
      </c>
      <c r="D212" s="25">
        <v>10</v>
      </c>
      <c r="E212" s="18" t="str">
        <f t="shared" si="42"/>
        <v>10</v>
      </c>
      <c r="F212" s="25">
        <v>750</v>
      </c>
      <c r="G212" s="37">
        <v>762</v>
      </c>
      <c r="H212" s="26">
        <f t="shared" si="44"/>
        <v>7.9247999999999994</v>
      </c>
      <c r="I212" s="26">
        <v>147.29</v>
      </c>
      <c r="J212" s="24">
        <v>30</v>
      </c>
      <c r="K212" s="24">
        <v>0.312</v>
      </c>
      <c r="L212" s="28">
        <f t="shared" si="43"/>
        <v>98.975513807546918</v>
      </c>
      <c r="M212" s="27">
        <f t="shared" si="37"/>
        <v>44.894537917581076</v>
      </c>
      <c r="N212" s="27">
        <f t="shared" si="38"/>
        <v>324.71886569979995</v>
      </c>
    </row>
    <row r="213" spans="1:14" hidden="1" x14ac:dyDescent="0.45">
      <c r="A213" s="45">
        <v>30</v>
      </c>
      <c r="B213" s="25" t="s">
        <v>9</v>
      </c>
      <c r="C213" s="50" t="s">
        <v>16</v>
      </c>
      <c r="D213" s="8"/>
      <c r="E213" s="18" t="str">
        <f t="shared" si="42"/>
        <v>STD</v>
      </c>
      <c r="F213" s="25">
        <v>750</v>
      </c>
      <c r="G213" s="37">
        <v>762</v>
      </c>
      <c r="H213" s="26">
        <f t="shared" si="44"/>
        <v>9.5249999999999986</v>
      </c>
      <c r="I213" s="26">
        <v>176.85</v>
      </c>
      <c r="J213" s="24">
        <v>30</v>
      </c>
      <c r="K213" s="24">
        <v>0.375</v>
      </c>
      <c r="L213" s="28">
        <f t="shared" si="43"/>
        <v>118.83915823792977</v>
      </c>
      <c r="M213" s="27">
        <f t="shared" si="37"/>
        <v>53.90453547915142</v>
      </c>
      <c r="N213" s="27">
        <f t="shared" si="38"/>
        <v>389.88751034699999</v>
      </c>
    </row>
    <row r="214" spans="1:14" hidden="1" x14ac:dyDescent="0.45">
      <c r="A214" s="45">
        <v>30</v>
      </c>
      <c r="B214" s="25" t="s">
        <v>10</v>
      </c>
      <c r="C214" s="50" t="s">
        <v>16</v>
      </c>
      <c r="D214" s="25">
        <v>20</v>
      </c>
      <c r="E214" s="18" t="str">
        <f>CONCATENATE(B214,C214,D214)</f>
        <v>XS 20</v>
      </c>
      <c r="F214" s="25">
        <v>750</v>
      </c>
      <c r="G214" s="37">
        <v>762</v>
      </c>
      <c r="H214" s="26">
        <f t="shared" si="44"/>
        <v>12.7</v>
      </c>
      <c r="I214" s="26">
        <v>234.68</v>
      </c>
      <c r="J214" s="24">
        <v>30</v>
      </c>
      <c r="K214" s="24">
        <v>0.5</v>
      </c>
      <c r="L214" s="28">
        <f t="shared" si="43"/>
        <v>157.69959658059008</v>
      </c>
      <c r="M214" s="27">
        <f t="shared" si="37"/>
        <v>71.53133382101926</v>
      </c>
      <c r="N214" s="27">
        <f t="shared" si="38"/>
        <v>517.38083646159998</v>
      </c>
    </row>
    <row r="215" spans="1:14" hidden="1" x14ac:dyDescent="0.45">
      <c r="A215" s="45">
        <v>30</v>
      </c>
      <c r="B215" s="8"/>
      <c r="C215" s="50" t="s">
        <v>16</v>
      </c>
      <c r="D215" s="25">
        <v>30</v>
      </c>
      <c r="E215" s="18" t="str">
        <f t="shared" si="42"/>
        <v>30</v>
      </c>
      <c r="F215" s="25">
        <v>750</v>
      </c>
      <c r="G215" s="37">
        <v>762</v>
      </c>
      <c r="H215" s="26">
        <f t="shared" si="44"/>
        <v>15.875</v>
      </c>
      <c r="I215" s="26">
        <v>292.2</v>
      </c>
      <c r="J215" s="24">
        <v>30</v>
      </c>
      <c r="K215" s="24">
        <v>0.625</v>
      </c>
      <c r="L215" s="28">
        <f t="shared" si="43"/>
        <v>196.35172200804681</v>
      </c>
      <c r="M215" s="27">
        <f t="shared" si="37"/>
        <v>89.063643013899039</v>
      </c>
      <c r="N215" s="27">
        <f t="shared" si="38"/>
        <v>644.19072956399998</v>
      </c>
    </row>
    <row r="216" spans="1:14" hidden="1" x14ac:dyDescent="0.45">
      <c r="A216" s="45">
        <v>32</v>
      </c>
      <c r="B216" s="8"/>
      <c r="C216" s="50" t="s">
        <v>16</v>
      </c>
      <c r="D216" s="25">
        <v>10</v>
      </c>
      <c r="E216" s="18" t="str">
        <f t="shared" si="42"/>
        <v>10</v>
      </c>
      <c r="F216" s="25">
        <v>800</v>
      </c>
      <c r="G216" s="37">
        <v>813</v>
      </c>
      <c r="H216" s="26">
        <f t="shared" si="44"/>
        <v>7.9247999999999994</v>
      </c>
      <c r="I216" s="26">
        <v>157.25</v>
      </c>
      <c r="J216" s="24">
        <v>32</v>
      </c>
      <c r="K216" s="24">
        <v>0.312</v>
      </c>
      <c r="L216" s="28">
        <f t="shared" si="43"/>
        <v>105.66840617989513</v>
      </c>
      <c r="M216" s="27">
        <f t="shared" si="37"/>
        <v>47.930382833455255</v>
      </c>
      <c r="N216" s="27">
        <f t="shared" si="38"/>
        <v>346.67690699499997</v>
      </c>
    </row>
    <row r="217" spans="1:14" hidden="1" x14ac:dyDescent="0.45">
      <c r="A217" s="45">
        <v>32</v>
      </c>
      <c r="B217" s="25" t="s">
        <v>9</v>
      </c>
      <c r="C217" s="50" t="s">
        <v>16</v>
      </c>
      <c r="D217" s="8"/>
      <c r="E217" s="18" t="str">
        <f t="shared" si="42"/>
        <v>STD</v>
      </c>
      <c r="F217" s="25">
        <v>800</v>
      </c>
      <c r="G217" s="37">
        <v>813</v>
      </c>
      <c r="H217" s="26">
        <f t="shared" si="44"/>
        <v>9.5249999999999986</v>
      </c>
      <c r="I217" s="26">
        <v>188.83</v>
      </c>
      <c r="J217" s="24">
        <v>32</v>
      </c>
      <c r="K217" s="24">
        <v>0.375</v>
      </c>
      <c r="L217" s="28">
        <f t="shared" si="43"/>
        <v>126.88944444483053</v>
      </c>
      <c r="M217" s="27">
        <f t="shared" si="37"/>
        <v>57.556083881980008</v>
      </c>
      <c r="N217" s="27">
        <f t="shared" si="38"/>
        <v>416.29888933460001</v>
      </c>
    </row>
    <row r="218" spans="1:14" hidden="1" x14ac:dyDescent="0.45">
      <c r="A218" s="45">
        <v>32</v>
      </c>
      <c r="B218" s="25" t="s">
        <v>10</v>
      </c>
      <c r="C218" s="50" t="s">
        <v>16</v>
      </c>
      <c r="D218" s="25">
        <v>20</v>
      </c>
      <c r="E218" s="18" t="str">
        <f>CONCATENATE(B218,C218,D218)</f>
        <v>XS 20</v>
      </c>
      <c r="F218" s="25">
        <v>800</v>
      </c>
      <c r="G218" s="37">
        <v>813</v>
      </c>
      <c r="H218" s="26">
        <f t="shared" si="44"/>
        <v>12.7</v>
      </c>
      <c r="I218" s="26">
        <v>250.65</v>
      </c>
      <c r="J218" s="24">
        <v>32</v>
      </c>
      <c r="K218" s="24">
        <v>0.5</v>
      </c>
      <c r="L218" s="28">
        <f t="shared" si="43"/>
        <v>168.43107159930503</v>
      </c>
      <c r="M218" s="27">
        <f t="shared" si="37"/>
        <v>76.399049012435995</v>
      </c>
      <c r="N218" s="27">
        <f t="shared" si="38"/>
        <v>552.58865970299996</v>
      </c>
    </row>
    <row r="219" spans="1:14" hidden="1" x14ac:dyDescent="0.45">
      <c r="A219" s="45">
        <v>32</v>
      </c>
      <c r="B219" s="8"/>
      <c r="C219" s="50" t="s">
        <v>16</v>
      </c>
      <c r="D219" s="25">
        <v>30</v>
      </c>
      <c r="E219" s="18" t="str">
        <f t="shared" si="42"/>
        <v>30</v>
      </c>
      <c r="F219" s="25">
        <v>800</v>
      </c>
      <c r="G219" s="37">
        <v>813</v>
      </c>
      <c r="H219" s="26">
        <f t="shared" si="44"/>
        <v>15.875</v>
      </c>
      <c r="I219" s="26">
        <v>312.19</v>
      </c>
      <c r="J219" s="24">
        <v>32</v>
      </c>
      <c r="K219" s="24">
        <v>0.625</v>
      </c>
      <c r="L219" s="28">
        <f t="shared" si="43"/>
        <v>209.78454515295047</v>
      </c>
      <c r="M219" s="27">
        <f t="shared" si="37"/>
        <v>95.156669105096313</v>
      </c>
      <c r="N219" s="27">
        <f t="shared" si="38"/>
        <v>688.26113573779992</v>
      </c>
    </row>
    <row r="220" spans="1:14" hidden="1" x14ac:dyDescent="0.45">
      <c r="A220" s="45">
        <v>32</v>
      </c>
      <c r="B220" s="8"/>
      <c r="C220" s="50" t="s">
        <v>16</v>
      </c>
      <c r="D220" s="25">
        <v>40</v>
      </c>
      <c r="E220" s="18" t="str">
        <f t="shared" si="42"/>
        <v>40</v>
      </c>
      <c r="F220" s="25">
        <v>800</v>
      </c>
      <c r="G220" s="37">
        <v>813</v>
      </c>
      <c r="H220" s="26">
        <f t="shared" si="44"/>
        <v>17.475199999999997</v>
      </c>
      <c r="I220" s="26">
        <v>342.94</v>
      </c>
      <c r="J220" s="24">
        <v>32</v>
      </c>
      <c r="K220" s="24">
        <v>0.68799999999999994</v>
      </c>
      <c r="L220" s="28">
        <f t="shared" si="43"/>
        <v>230.44784238685685</v>
      </c>
      <c r="M220" s="27">
        <f t="shared" si="37"/>
        <v>104.52938307729822</v>
      </c>
      <c r="N220" s="27">
        <f t="shared" si="38"/>
        <v>756.05328130279997</v>
      </c>
    </row>
    <row r="221" spans="1:14" hidden="1" x14ac:dyDescent="0.45">
      <c r="A221" s="45">
        <v>34</v>
      </c>
      <c r="B221" s="8"/>
      <c r="C221" s="50" t="s">
        <v>16</v>
      </c>
      <c r="D221" s="25">
        <v>10</v>
      </c>
      <c r="E221" s="18" t="str">
        <f t="shared" si="42"/>
        <v>10</v>
      </c>
      <c r="F221" s="25">
        <v>850</v>
      </c>
      <c r="G221" s="37">
        <v>864</v>
      </c>
      <c r="H221" s="26">
        <f t="shared" si="44"/>
        <v>7.9247999999999994</v>
      </c>
      <c r="I221" s="26">
        <v>167.21</v>
      </c>
      <c r="J221" s="24">
        <v>34</v>
      </c>
      <c r="K221" s="24">
        <v>0.312</v>
      </c>
      <c r="L221" s="28">
        <f t="shared" si="43"/>
        <v>112.36129855224334</v>
      </c>
      <c r="M221" s="27">
        <f t="shared" si="37"/>
        <v>50.966227749329434</v>
      </c>
      <c r="N221" s="27">
        <f t="shared" si="38"/>
        <v>368.63494829019999</v>
      </c>
    </row>
    <row r="222" spans="1:14" hidden="1" x14ac:dyDescent="0.45">
      <c r="A222" s="45">
        <v>34</v>
      </c>
      <c r="B222" s="25" t="s">
        <v>9</v>
      </c>
      <c r="C222" s="50" t="s">
        <v>16</v>
      </c>
      <c r="D222" s="8"/>
      <c r="E222" s="18" t="str">
        <f t="shared" si="42"/>
        <v>STD</v>
      </c>
      <c r="F222" s="25">
        <v>850</v>
      </c>
      <c r="G222" s="37">
        <v>864</v>
      </c>
      <c r="H222" s="26">
        <f t="shared" si="44"/>
        <v>9.5249999999999986</v>
      </c>
      <c r="I222" s="26">
        <v>200.82</v>
      </c>
      <c r="J222" s="24">
        <v>34</v>
      </c>
      <c r="K222" s="24">
        <v>0.375</v>
      </c>
      <c r="L222" s="28">
        <f t="shared" si="43"/>
        <v>134.94645042318945</v>
      </c>
      <c r="M222" s="27">
        <f t="shared" si="37"/>
        <v>61.210680321872708</v>
      </c>
      <c r="N222" s="27">
        <f t="shared" si="38"/>
        <v>442.73231454839998</v>
      </c>
    </row>
    <row r="223" spans="1:14" hidden="1" x14ac:dyDescent="0.45">
      <c r="A223" s="45">
        <v>34</v>
      </c>
      <c r="B223" s="25" t="s">
        <v>10</v>
      </c>
      <c r="C223" s="50" t="s">
        <v>16</v>
      </c>
      <c r="D223" s="25">
        <v>20</v>
      </c>
      <c r="E223" s="18" t="str">
        <f>CONCATENATE(B223,C223,D223)</f>
        <v>XS 20</v>
      </c>
      <c r="F223" s="25">
        <v>850</v>
      </c>
      <c r="G223" s="37">
        <v>864</v>
      </c>
      <c r="H223" s="26">
        <f t="shared" si="44"/>
        <v>12.7</v>
      </c>
      <c r="I223" s="26">
        <v>266.63</v>
      </c>
      <c r="J223" s="24">
        <v>34</v>
      </c>
      <c r="K223" s="24">
        <v>0.5</v>
      </c>
      <c r="L223" s="28">
        <f t="shared" si="43"/>
        <v>179.16926638947817</v>
      </c>
      <c r="M223" s="27">
        <f t="shared" si="37"/>
        <v>81.269812240916849</v>
      </c>
      <c r="N223" s="27">
        <f t="shared" si="38"/>
        <v>587.81852917059996</v>
      </c>
    </row>
    <row r="224" spans="1:14" hidden="1" x14ac:dyDescent="0.45">
      <c r="A224" s="45">
        <v>34</v>
      </c>
      <c r="B224" s="8"/>
      <c r="C224" s="50" t="s">
        <v>16</v>
      </c>
      <c r="D224" s="25">
        <v>30</v>
      </c>
      <c r="E224" s="18" t="str">
        <f t="shared" si="42"/>
        <v>30</v>
      </c>
      <c r="F224" s="25">
        <v>850</v>
      </c>
      <c r="G224" s="37">
        <v>864</v>
      </c>
      <c r="H224" s="26">
        <f t="shared" si="44"/>
        <v>15.875</v>
      </c>
      <c r="I224" s="26">
        <v>332.14</v>
      </c>
      <c r="J224" s="24">
        <v>34</v>
      </c>
      <c r="K224" s="24">
        <v>0.625</v>
      </c>
      <c r="L224" s="28">
        <f t="shared" si="43"/>
        <v>223.19048921202142</v>
      </c>
      <c r="M224" s="27">
        <f t="shared" si="37"/>
        <v>101.23750304803706</v>
      </c>
      <c r="N224" s="27">
        <f t="shared" si="38"/>
        <v>732.2433570067999</v>
      </c>
    </row>
    <row r="225" spans="1:14" hidden="1" x14ac:dyDescent="0.45">
      <c r="A225" s="45">
        <v>34</v>
      </c>
      <c r="B225" s="8"/>
      <c r="C225" s="50" t="s">
        <v>16</v>
      </c>
      <c r="D225" s="25">
        <v>40</v>
      </c>
      <c r="E225" s="18" t="str">
        <f t="shared" si="42"/>
        <v>40</v>
      </c>
      <c r="F225" s="25">
        <v>850</v>
      </c>
      <c r="G225" s="37">
        <v>864</v>
      </c>
      <c r="H225" s="26">
        <f t="shared" si="44"/>
        <v>17.475199999999997</v>
      </c>
      <c r="I225" s="26">
        <v>364.92</v>
      </c>
      <c r="J225" s="24">
        <v>34</v>
      </c>
      <c r="K225" s="24">
        <v>0.68799999999999994</v>
      </c>
      <c r="L225" s="28">
        <f t="shared" si="43"/>
        <v>245.21790005193856</v>
      </c>
      <c r="M225" s="27">
        <f t="shared" si="37"/>
        <v>111.2289685442575</v>
      </c>
      <c r="N225" s="27">
        <f t="shared" si="38"/>
        <v>804.51088649040003</v>
      </c>
    </row>
    <row r="226" spans="1:14" hidden="1" x14ac:dyDescent="0.45">
      <c r="A226" s="45">
        <v>36</v>
      </c>
      <c r="B226" s="8"/>
      <c r="C226" s="50" t="s">
        <v>16</v>
      </c>
      <c r="D226" s="25">
        <v>10</v>
      </c>
      <c r="E226" s="18" t="str">
        <f t="shared" si="42"/>
        <v>10</v>
      </c>
      <c r="F226" s="25">
        <v>900</v>
      </c>
      <c r="G226" s="37">
        <v>914</v>
      </c>
      <c r="H226" s="26">
        <f t="shared" si="44"/>
        <v>7.9247999999999994</v>
      </c>
      <c r="I226" s="26">
        <v>176.97</v>
      </c>
      <c r="J226" s="24">
        <v>36</v>
      </c>
      <c r="K226" s="24">
        <v>0.312</v>
      </c>
      <c r="L226" s="28">
        <f t="shared" si="43"/>
        <v>118.91979549542793</v>
      </c>
      <c r="M226" s="27">
        <f t="shared" si="37"/>
        <v>53.941111923920992</v>
      </c>
      <c r="N226" s="27">
        <f t="shared" si="38"/>
        <v>390.15206506139998</v>
      </c>
    </row>
    <row r="227" spans="1:14" hidden="1" x14ac:dyDescent="0.45">
      <c r="A227" s="45">
        <v>36</v>
      </c>
      <c r="B227" s="25" t="s">
        <v>9</v>
      </c>
      <c r="C227" s="50" t="s">
        <v>16</v>
      </c>
      <c r="D227" s="8"/>
      <c r="E227" s="18" t="str">
        <f t="shared" si="42"/>
        <v>STD</v>
      </c>
      <c r="F227" s="25">
        <v>900</v>
      </c>
      <c r="G227" s="37">
        <v>914</v>
      </c>
      <c r="H227" s="26">
        <f t="shared" si="44"/>
        <v>9.5249999999999986</v>
      </c>
      <c r="I227" s="26">
        <v>212.57</v>
      </c>
      <c r="J227" s="24">
        <v>36</v>
      </c>
      <c r="K227" s="24">
        <v>0.375</v>
      </c>
      <c r="L227" s="28">
        <f t="shared" si="43"/>
        <v>142.84218188655205</v>
      </c>
      <c r="M227" s="27">
        <f t="shared" si="37"/>
        <v>64.792123872226284</v>
      </c>
      <c r="N227" s="27">
        <f t="shared" si="38"/>
        <v>468.63663033339998</v>
      </c>
    </row>
    <row r="228" spans="1:14" hidden="1" x14ac:dyDescent="0.45">
      <c r="A228" s="45">
        <v>36</v>
      </c>
      <c r="B228" s="25" t="s">
        <v>10</v>
      </c>
      <c r="C228" s="50" t="s">
        <v>16</v>
      </c>
      <c r="D228" s="25">
        <v>20</v>
      </c>
      <c r="E228" s="18" t="str">
        <f>CONCATENATE(B228,C228,D228)</f>
        <v>XS 20</v>
      </c>
      <c r="F228" s="25">
        <v>900</v>
      </c>
      <c r="G228" s="37">
        <v>914</v>
      </c>
      <c r="H228" s="26">
        <f t="shared" si="44"/>
        <v>12.7</v>
      </c>
      <c r="I228" s="26">
        <v>282.29000000000002</v>
      </c>
      <c r="J228" s="24">
        <v>36</v>
      </c>
      <c r="K228" s="24">
        <v>0.5</v>
      </c>
      <c r="L228" s="28">
        <f t="shared" si="43"/>
        <v>189.69242849298954</v>
      </c>
      <c r="M228" s="27">
        <f t="shared" si="37"/>
        <v>86.043038283345524</v>
      </c>
      <c r="N228" s="27">
        <f t="shared" si="38"/>
        <v>622.34291939980005</v>
      </c>
    </row>
    <row r="229" spans="1:14" hidden="1" x14ac:dyDescent="0.45">
      <c r="A229" s="45">
        <v>36</v>
      </c>
      <c r="B229" s="8"/>
      <c r="C229" s="50" t="s">
        <v>16</v>
      </c>
      <c r="D229" s="25">
        <v>30</v>
      </c>
      <c r="E229" s="18" t="str">
        <f t="shared" si="42"/>
        <v>30</v>
      </c>
      <c r="F229" s="25">
        <v>900</v>
      </c>
      <c r="G229" s="37">
        <v>914</v>
      </c>
      <c r="H229" s="26">
        <f t="shared" si="44"/>
        <v>15.875</v>
      </c>
      <c r="I229" s="26">
        <v>351.73</v>
      </c>
      <c r="J229" s="24">
        <v>36</v>
      </c>
      <c r="K229" s="24">
        <v>0.625</v>
      </c>
      <c r="L229" s="28">
        <f t="shared" si="43"/>
        <v>236.3545214985979</v>
      </c>
      <c r="M229" s="27">
        <f t="shared" si="37"/>
        <v>107.2086076566691</v>
      </c>
      <c r="N229" s="27">
        <f t="shared" si="38"/>
        <v>775.43191413260001</v>
      </c>
    </row>
    <row r="230" spans="1:14" hidden="1" x14ac:dyDescent="0.45">
      <c r="A230" s="45">
        <v>36</v>
      </c>
      <c r="B230" s="8"/>
      <c r="C230" s="50" t="s">
        <v>16</v>
      </c>
      <c r="D230" s="25">
        <v>40</v>
      </c>
      <c r="E230" s="18" t="str">
        <f t="shared" si="42"/>
        <v>40</v>
      </c>
      <c r="F230" s="25">
        <v>900</v>
      </c>
      <c r="G230" s="37">
        <v>914</v>
      </c>
      <c r="H230" s="26">
        <f t="shared" si="44"/>
        <v>19.049999999999997</v>
      </c>
      <c r="I230" s="26">
        <v>420.45</v>
      </c>
      <c r="J230" s="24">
        <v>36</v>
      </c>
      <c r="K230" s="24">
        <v>0.75</v>
      </c>
      <c r="L230" s="28">
        <f t="shared" si="43"/>
        <v>282.53279095921721</v>
      </c>
      <c r="M230" s="27">
        <f t="shared" si="37"/>
        <v>128.15471836137527</v>
      </c>
      <c r="N230" s="27">
        <f t="shared" si="38"/>
        <v>926.93358057899991</v>
      </c>
    </row>
    <row r="231" spans="1:14" hidden="1" x14ac:dyDescent="0.45">
      <c r="A231" s="45">
        <v>38</v>
      </c>
      <c r="B231" s="25" t="s">
        <v>9</v>
      </c>
      <c r="C231" s="50" t="s">
        <v>16</v>
      </c>
      <c r="D231" s="8"/>
      <c r="E231" s="18" t="str">
        <f t="shared" si="42"/>
        <v>STD</v>
      </c>
      <c r="F231" s="25">
        <v>950</v>
      </c>
      <c r="G231" s="37">
        <v>965</v>
      </c>
      <c r="H231" s="26">
        <f t="shared" si="44"/>
        <v>9.5249999999999986</v>
      </c>
      <c r="I231" s="26">
        <v>224.56</v>
      </c>
      <c r="J231" s="24">
        <v>38</v>
      </c>
      <c r="K231" s="24">
        <v>0.375</v>
      </c>
      <c r="L231" s="28">
        <f t="shared" si="43"/>
        <v>150.89918786491097</v>
      </c>
      <c r="M231" s="27">
        <f t="shared" si="37"/>
        <v>68.446720312118998</v>
      </c>
      <c r="N231" s="27">
        <f t="shared" si="38"/>
        <v>495.07005554719996</v>
      </c>
    </row>
    <row r="232" spans="1:14" hidden="1" x14ac:dyDescent="0.45">
      <c r="A232" s="45">
        <v>38</v>
      </c>
      <c r="B232" s="25" t="s">
        <v>10</v>
      </c>
      <c r="C232" s="50" t="s">
        <v>16</v>
      </c>
      <c r="D232" s="8"/>
      <c r="E232" s="18" t="str">
        <f t="shared" si="42"/>
        <v>XS</v>
      </c>
      <c r="F232" s="25">
        <v>950</v>
      </c>
      <c r="G232" s="37">
        <v>965</v>
      </c>
      <c r="H232" s="26">
        <f t="shared" si="44"/>
        <v>12.7</v>
      </c>
      <c r="I232" s="26">
        <v>298.26</v>
      </c>
      <c r="J232" s="24">
        <v>38</v>
      </c>
      <c r="K232" s="24">
        <v>0.5</v>
      </c>
      <c r="L232" s="28">
        <f t="shared" si="43"/>
        <v>200.42390351170442</v>
      </c>
      <c r="M232" s="27">
        <f t="shared" si="37"/>
        <v>90.910753474762245</v>
      </c>
      <c r="N232" s="27">
        <f t="shared" si="38"/>
        <v>657.55074264119992</v>
      </c>
    </row>
    <row r="233" spans="1:14" hidden="1" x14ac:dyDescent="0.45">
      <c r="A233" s="45">
        <v>40</v>
      </c>
      <c r="B233" s="25" t="s">
        <v>9</v>
      </c>
      <c r="C233" s="50" t="s">
        <v>16</v>
      </c>
      <c r="D233" s="8"/>
      <c r="E233" s="18" t="str">
        <f t="shared" si="42"/>
        <v>STD</v>
      </c>
      <c r="F233" s="25">
        <v>1000</v>
      </c>
      <c r="G233" s="37">
        <v>1016</v>
      </c>
      <c r="H233" s="26">
        <f t="shared" si="44"/>
        <v>9.5249999999999986</v>
      </c>
      <c r="I233" s="26">
        <v>236.54</v>
      </c>
      <c r="J233" s="24">
        <v>40</v>
      </c>
      <c r="K233" s="24">
        <v>0.375</v>
      </c>
      <c r="L233" s="28">
        <f t="shared" si="43"/>
        <v>158.94947407181175</v>
      </c>
      <c r="M233" s="27">
        <f t="shared" si="37"/>
        <v>72.098268714947565</v>
      </c>
      <c r="N233" s="27">
        <f t="shared" si="38"/>
        <v>521.48143453479997</v>
      </c>
    </row>
    <row r="234" spans="1:14" hidden="1" x14ac:dyDescent="0.45">
      <c r="A234" s="45">
        <v>40</v>
      </c>
      <c r="B234" s="25" t="s">
        <v>10</v>
      </c>
      <c r="C234" s="50" t="s">
        <v>16</v>
      </c>
      <c r="D234" s="8"/>
      <c r="E234" s="18" t="str">
        <f t="shared" si="42"/>
        <v>XS</v>
      </c>
      <c r="F234" s="25">
        <v>1000</v>
      </c>
      <c r="G234" s="37">
        <v>1016</v>
      </c>
      <c r="H234" s="26">
        <f t="shared" si="44"/>
        <v>12.7</v>
      </c>
      <c r="I234" s="26">
        <v>314.23</v>
      </c>
      <c r="J234" s="24">
        <v>40</v>
      </c>
      <c r="K234" s="24">
        <v>0.5</v>
      </c>
      <c r="L234" s="28">
        <f t="shared" si="43"/>
        <v>211.1553785304194</v>
      </c>
      <c r="M234" s="27">
        <f t="shared" si="37"/>
        <v>95.778468666178981</v>
      </c>
      <c r="N234" s="27">
        <f t="shared" si="38"/>
        <v>692.75856588260001</v>
      </c>
    </row>
    <row r="235" spans="1:14" hidden="1" x14ac:dyDescent="0.45">
      <c r="A235" s="45">
        <v>42</v>
      </c>
      <c r="B235" s="25" t="s">
        <v>9</v>
      </c>
      <c r="C235" s="50" t="s">
        <v>16</v>
      </c>
      <c r="D235" s="8"/>
      <c r="E235" s="18" t="str">
        <f t="shared" si="42"/>
        <v>STD</v>
      </c>
      <c r="F235" s="25">
        <v>1050</v>
      </c>
      <c r="G235" s="37">
        <v>1067</v>
      </c>
      <c r="H235" s="26">
        <f t="shared" si="44"/>
        <v>9.5249999999999986</v>
      </c>
      <c r="I235" s="26">
        <v>248.53</v>
      </c>
      <c r="J235" s="24">
        <v>42</v>
      </c>
      <c r="K235" s="24">
        <v>0.375</v>
      </c>
      <c r="L235" s="28">
        <f t="shared" si="43"/>
        <v>167.00648005017067</v>
      </c>
      <c r="M235" s="27">
        <f t="shared" ref="M235:M242" si="45">I235/3.2808</f>
        <v>75.752865154840279</v>
      </c>
      <c r="N235" s="27">
        <f t="shared" ref="N235:N242" si="46">I235*2.20462262</f>
        <v>547.91485974859995</v>
      </c>
    </row>
    <row r="236" spans="1:14" hidden="1" x14ac:dyDescent="0.45">
      <c r="A236" s="45">
        <v>42</v>
      </c>
      <c r="B236" s="25" t="s">
        <v>10</v>
      </c>
      <c r="C236" s="50" t="s">
        <v>16</v>
      </c>
      <c r="D236" s="8"/>
      <c r="E236" s="18" t="str">
        <f t="shared" si="42"/>
        <v>XS</v>
      </c>
      <c r="F236" s="25">
        <v>1050</v>
      </c>
      <c r="G236" s="37">
        <v>1067</v>
      </c>
      <c r="H236" s="26">
        <f t="shared" si="44"/>
        <v>12.7</v>
      </c>
      <c r="I236" s="26">
        <v>330.21</v>
      </c>
      <c r="J236" s="24">
        <v>42</v>
      </c>
      <c r="K236" s="24">
        <v>0.5</v>
      </c>
      <c r="L236" s="28">
        <f t="shared" si="43"/>
        <v>221.89357332059251</v>
      </c>
      <c r="M236" s="27">
        <f t="shared" si="45"/>
        <v>100.64923189465983</v>
      </c>
      <c r="N236" s="27">
        <f t="shared" si="46"/>
        <v>727.98843535019989</v>
      </c>
    </row>
    <row r="237" spans="1:14" hidden="1" x14ac:dyDescent="0.45">
      <c r="A237" s="45">
        <v>44</v>
      </c>
      <c r="B237" s="25" t="s">
        <v>9</v>
      </c>
      <c r="C237" s="50" t="s">
        <v>16</v>
      </c>
      <c r="D237" s="8"/>
      <c r="E237" s="18" t="str">
        <f t="shared" si="42"/>
        <v>STD</v>
      </c>
      <c r="F237" s="25">
        <v>1100</v>
      </c>
      <c r="G237" s="37">
        <v>1118</v>
      </c>
      <c r="H237" s="26">
        <f t="shared" si="44"/>
        <v>9.5249999999999986</v>
      </c>
      <c r="I237" s="26">
        <v>260.52</v>
      </c>
      <c r="J237" s="24">
        <v>44</v>
      </c>
      <c r="K237" s="24">
        <v>0.375</v>
      </c>
      <c r="L237" s="28">
        <f t="shared" si="43"/>
        <v>175.06348602852961</v>
      </c>
      <c r="M237" s="27">
        <f t="shared" si="45"/>
        <v>79.407461594732979</v>
      </c>
      <c r="N237" s="27">
        <f t="shared" si="46"/>
        <v>574.34828496239993</v>
      </c>
    </row>
    <row r="238" spans="1:14" hidden="1" x14ac:dyDescent="0.45">
      <c r="A238" s="45">
        <v>44</v>
      </c>
      <c r="B238" s="25" t="s">
        <v>10</v>
      </c>
      <c r="C238" s="50" t="s">
        <v>16</v>
      </c>
      <c r="D238" s="8"/>
      <c r="E238" s="18" t="str">
        <f t="shared" si="42"/>
        <v>XS</v>
      </c>
      <c r="F238" s="25">
        <v>1100</v>
      </c>
      <c r="G238" s="37">
        <v>1118</v>
      </c>
      <c r="H238" s="26">
        <f t="shared" si="44"/>
        <v>12.7</v>
      </c>
      <c r="I238" s="26">
        <v>346.18</v>
      </c>
      <c r="J238" s="24">
        <v>44</v>
      </c>
      <c r="K238" s="24">
        <v>0.5</v>
      </c>
      <c r="L238" s="28">
        <f t="shared" si="43"/>
        <v>232.62504833930748</v>
      </c>
      <c r="M238" s="27">
        <f t="shared" si="45"/>
        <v>105.51694708607657</v>
      </c>
      <c r="N238" s="27">
        <f t="shared" si="46"/>
        <v>763.19625859159999</v>
      </c>
    </row>
    <row r="239" spans="1:14" hidden="1" x14ac:dyDescent="0.45">
      <c r="A239" s="45">
        <v>46</v>
      </c>
      <c r="B239" s="25" t="s">
        <v>9</v>
      </c>
      <c r="C239" s="50" t="s">
        <v>16</v>
      </c>
      <c r="D239" s="8"/>
      <c r="E239" s="18" t="str">
        <f t="shared" si="42"/>
        <v>STD</v>
      </c>
      <c r="F239" s="25">
        <v>1150</v>
      </c>
      <c r="G239" s="37">
        <v>1168</v>
      </c>
      <c r="H239" s="26">
        <f t="shared" si="44"/>
        <v>9.5249999999999986</v>
      </c>
      <c r="I239" s="26">
        <v>272.27</v>
      </c>
      <c r="J239" s="24">
        <v>46</v>
      </c>
      <c r="K239" s="24">
        <v>0.375</v>
      </c>
      <c r="L239" s="28">
        <f t="shared" si="43"/>
        <v>182.95921749189219</v>
      </c>
      <c r="M239" s="27">
        <f t="shared" si="45"/>
        <v>82.988905145086548</v>
      </c>
      <c r="N239" s="27">
        <f t="shared" si="46"/>
        <v>600.25260074739992</v>
      </c>
    </row>
    <row r="240" spans="1:14" hidden="1" x14ac:dyDescent="0.45">
      <c r="A240" s="45">
        <v>46</v>
      </c>
      <c r="B240" s="25" t="s">
        <v>10</v>
      </c>
      <c r="C240" s="50" t="s">
        <v>16</v>
      </c>
      <c r="D240" s="8"/>
      <c r="E240" s="18" t="str">
        <f t="shared" si="42"/>
        <v>XS</v>
      </c>
      <c r="F240" s="25">
        <v>1150</v>
      </c>
      <c r="G240" s="37">
        <v>1168</v>
      </c>
      <c r="H240" s="26">
        <f t="shared" si="44"/>
        <v>12.7</v>
      </c>
      <c r="I240" s="26">
        <v>361.84</v>
      </c>
      <c r="J240" s="24">
        <v>46</v>
      </c>
      <c r="K240" s="24">
        <v>0.5</v>
      </c>
      <c r="L240" s="28">
        <f t="shared" si="43"/>
        <v>243.14821044281877</v>
      </c>
      <c r="M240" s="27">
        <f t="shared" si="45"/>
        <v>110.29017312850523</v>
      </c>
      <c r="N240" s="27">
        <f t="shared" si="46"/>
        <v>797.72064882079985</v>
      </c>
    </row>
    <row r="241" spans="1:14" hidden="1" x14ac:dyDescent="0.45">
      <c r="A241" s="45">
        <v>48</v>
      </c>
      <c r="B241" s="25" t="s">
        <v>9</v>
      </c>
      <c r="C241" s="50" t="s">
        <v>16</v>
      </c>
      <c r="D241" s="8"/>
      <c r="E241" s="18" t="str">
        <f t="shared" si="42"/>
        <v>STD</v>
      </c>
      <c r="F241" s="25">
        <v>1200</v>
      </c>
      <c r="G241" s="37">
        <v>1219</v>
      </c>
      <c r="H241" s="26">
        <f t="shared" si="44"/>
        <v>9.5249999999999986</v>
      </c>
      <c r="I241" s="26">
        <v>284.25</v>
      </c>
      <c r="J241" s="24">
        <v>48</v>
      </c>
      <c r="K241" s="24">
        <v>0.375</v>
      </c>
      <c r="L241" s="28">
        <f t="shared" si="43"/>
        <v>191.00950369879297</v>
      </c>
      <c r="M241" s="27">
        <f t="shared" si="45"/>
        <v>86.640453547915143</v>
      </c>
      <c r="N241" s="27">
        <f t="shared" si="46"/>
        <v>626.663979735</v>
      </c>
    </row>
    <row r="242" spans="1:14" hidden="1" x14ac:dyDescent="0.45">
      <c r="A242" s="45">
        <v>48</v>
      </c>
      <c r="B242" s="25" t="s">
        <v>10</v>
      </c>
      <c r="C242" s="50" t="s">
        <v>16</v>
      </c>
      <c r="D242" s="8"/>
      <c r="E242" s="18" t="str">
        <f t="shared" si="42"/>
        <v>XS</v>
      </c>
      <c r="F242" s="25">
        <v>1200</v>
      </c>
      <c r="G242" s="37">
        <v>1219</v>
      </c>
      <c r="H242" s="26">
        <f t="shared" si="44"/>
        <v>12.7</v>
      </c>
      <c r="I242" s="26">
        <v>377.81</v>
      </c>
      <c r="J242" s="24">
        <v>48</v>
      </c>
      <c r="K242" s="24">
        <v>0.5</v>
      </c>
      <c r="L242" s="28">
        <f t="shared" si="43"/>
        <v>253.87968546153374</v>
      </c>
      <c r="M242" s="27">
        <f t="shared" si="45"/>
        <v>115.15788831992197</v>
      </c>
      <c r="N242" s="27">
        <f t="shared" si="46"/>
        <v>832.92847206219994</v>
      </c>
    </row>
    <row r="243" spans="1:14" ht="14.65" thickBot="1" x14ac:dyDescent="0.5">
      <c r="A243" s="46"/>
      <c r="B243" s="13"/>
      <c r="C243" s="13"/>
      <c r="D243" s="13"/>
      <c r="E243" s="13"/>
      <c r="F243" s="13"/>
      <c r="G243" s="38"/>
      <c r="H243" s="14"/>
      <c r="I243" s="14"/>
      <c r="J243" s="12"/>
      <c r="K243" s="12"/>
      <c r="L243" s="16"/>
      <c r="M243" s="15"/>
      <c r="N243" s="15"/>
    </row>
    <row r="244" spans="1:14" x14ac:dyDescent="0.45">
      <c r="H244" s="4"/>
      <c r="I244" s="4"/>
      <c r="J244" s="3"/>
      <c r="K244" s="3"/>
    </row>
    <row r="245" spans="1:14" x14ac:dyDescent="0.45">
      <c r="H245" s="4"/>
      <c r="I245" s="4"/>
      <c r="J245" s="3"/>
      <c r="K245" s="3"/>
    </row>
    <row r="246" spans="1:14" x14ac:dyDescent="0.45">
      <c r="H246" s="4"/>
      <c r="I246" s="4"/>
      <c r="J246" s="3"/>
      <c r="K246" s="3"/>
    </row>
    <row r="247" spans="1:14" x14ac:dyDescent="0.45">
      <c r="H247" s="4"/>
      <c r="I247" s="4"/>
      <c r="J247" s="3"/>
      <c r="K247" s="3"/>
    </row>
    <row r="248" spans="1:14" x14ac:dyDescent="0.45">
      <c r="H248" s="4"/>
      <c r="I248" s="4"/>
      <c r="J248" s="3"/>
      <c r="K248" s="3"/>
    </row>
    <row r="249" spans="1:14" x14ac:dyDescent="0.45">
      <c r="H249" s="4"/>
      <c r="I249" s="4"/>
      <c r="J249" s="3"/>
      <c r="K249" s="3"/>
    </row>
    <row r="250" spans="1:14" x14ac:dyDescent="0.45">
      <c r="H250" s="4"/>
      <c r="I250" s="4"/>
      <c r="J250" s="3"/>
      <c r="K250" s="3"/>
    </row>
    <row r="251" spans="1:14" x14ac:dyDescent="0.45">
      <c r="H251" s="4"/>
      <c r="I251" s="4"/>
      <c r="J251" s="3"/>
      <c r="K251" s="3"/>
    </row>
    <row r="252" spans="1:14" x14ac:dyDescent="0.45">
      <c r="H252" s="4"/>
      <c r="I252" s="4"/>
      <c r="J252" s="3"/>
      <c r="K252" s="3"/>
    </row>
    <row r="253" spans="1:14" x14ac:dyDescent="0.45">
      <c r="H253" s="4"/>
      <c r="I253" s="4"/>
      <c r="J253" s="3"/>
      <c r="K253" s="3"/>
    </row>
    <row r="254" spans="1:14" x14ac:dyDescent="0.45">
      <c r="H254" s="4"/>
      <c r="I254" s="4"/>
      <c r="J254" s="3"/>
      <c r="K254" s="3"/>
    </row>
    <row r="255" spans="1:14" x14ac:dyDescent="0.45">
      <c r="H255" s="4"/>
      <c r="I255" s="4"/>
      <c r="J255" s="3"/>
      <c r="K255" s="3"/>
    </row>
    <row r="256" spans="1:14" x14ac:dyDescent="0.45">
      <c r="H256" s="4"/>
      <c r="I256" s="4"/>
      <c r="J256" s="3"/>
      <c r="K256" s="3"/>
    </row>
    <row r="257" spans="8:11" x14ac:dyDescent="0.45">
      <c r="H257" s="4"/>
      <c r="I257" s="4"/>
      <c r="J257" s="3"/>
      <c r="K257" s="3"/>
    </row>
    <row r="258" spans="8:11" x14ac:dyDescent="0.45">
      <c r="H258" s="4"/>
      <c r="I258" s="4"/>
      <c r="J258" s="3"/>
      <c r="K258" s="3"/>
    </row>
    <row r="259" spans="8:11" x14ac:dyDescent="0.45">
      <c r="H259" s="4"/>
      <c r="I259" s="4"/>
      <c r="J259" s="3"/>
      <c r="K259" s="3"/>
    </row>
    <row r="260" spans="8:11" x14ac:dyDescent="0.45">
      <c r="H260" s="4"/>
      <c r="I260" s="4"/>
      <c r="J260" s="3"/>
      <c r="K260" s="3"/>
    </row>
    <row r="261" spans="8:11" x14ac:dyDescent="0.45">
      <c r="H261" s="4"/>
      <c r="I261" s="4"/>
      <c r="J261" s="3"/>
      <c r="K261" s="3"/>
    </row>
    <row r="262" spans="8:11" x14ac:dyDescent="0.45">
      <c r="H262" s="4"/>
      <c r="I262" s="4"/>
      <c r="J262" s="3"/>
      <c r="K262" s="3"/>
    </row>
    <row r="263" spans="8:11" x14ac:dyDescent="0.45">
      <c r="H263" s="4"/>
      <c r="I263" s="4"/>
      <c r="J263" s="3"/>
      <c r="K263" s="3"/>
    </row>
    <row r="264" spans="8:11" x14ac:dyDescent="0.45">
      <c r="H264" s="4"/>
      <c r="I264" s="4"/>
      <c r="J264" s="3"/>
      <c r="K264" s="3"/>
    </row>
    <row r="265" spans="8:11" x14ac:dyDescent="0.45">
      <c r="H265" s="4"/>
      <c r="I265" s="4"/>
      <c r="J265" s="3"/>
      <c r="K265" s="3"/>
    </row>
    <row r="266" spans="8:11" x14ac:dyDescent="0.45">
      <c r="H266" s="4"/>
      <c r="I266" s="4"/>
      <c r="J266" s="3"/>
      <c r="K266" s="3"/>
    </row>
    <row r="267" spans="8:11" x14ac:dyDescent="0.45">
      <c r="H267" s="4"/>
      <c r="I267" s="4"/>
      <c r="J267" s="3"/>
      <c r="K267" s="3"/>
    </row>
    <row r="268" spans="8:11" x14ac:dyDescent="0.45">
      <c r="H268" s="4"/>
      <c r="I268" s="4"/>
      <c r="J268" s="3"/>
      <c r="K268" s="3"/>
    </row>
    <row r="269" spans="8:11" x14ac:dyDescent="0.45">
      <c r="H269" s="4"/>
      <c r="I269" s="4"/>
      <c r="J269" s="3"/>
      <c r="K269" s="3"/>
    </row>
    <row r="270" spans="8:11" x14ac:dyDescent="0.45">
      <c r="H270" s="4"/>
      <c r="I270" s="4"/>
      <c r="J270" s="3"/>
      <c r="K270" s="3"/>
    </row>
    <row r="271" spans="8:11" x14ac:dyDescent="0.45">
      <c r="H271" s="4"/>
      <c r="I271" s="4"/>
      <c r="J271" s="3"/>
      <c r="K271" s="3"/>
    </row>
    <row r="272" spans="8:11" x14ac:dyDescent="0.45">
      <c r="H272" s="4"/>
      <c r="I272" s="4"/>
      <c r="J272" s="3"/>
      <c r="K272" s="3"/>
    </row>
    <row r="273" spans="8:11" x14ac:dyDescent="0.45">
      <c r="H273" s="4"/>
      <c r="I273" s="4"/>
      <c r="J273" s="3"/>
      <c r="K273" s="3"/>
    </row>
    <row r="274" spans="8:11" x14ac:dyDescent="0.45">
      <c r="H274" s="4"/>
      <c r="I274" s="4"/>
      <c r="J274" s="3"/>
      <c r="K274" s="3"/>
    </row>
    <row r="275" spans="8:11" x14ac:dyDescent="0.45">
      <c r="H275" s="4"/>
      <c r="I275" s="4"/>
      <c r="J275" s="3"/>
      <c r="K275" s="3"/>
    </row>
    <row r="276" spans="8:11" x14ac:dyDescent="0.45">
      <c r="H276" s="4"/>
      <c r="I276" s="4"/>
      <c r="J276" s="3"/>
      <c r="K276" s="3"/>
    </row>
    <row r="277" spans="8:11" x14ac:dyDescent="0.45">
      <c r="H277" s="4"/>
      <c r="I277" s="4"/>
      <c r="J277" s="3"/>
      <c r="K277" s="3"/>
    </row>
    <row r="278" spans="8:11" x14ac:dyDescent="0.45">
      <c r="H278" s="4"/>
      <c r="I278" s="4"/>
      <c r="J278" s="3"/>
      <c r="K278" s="3"/>
    </row>
    <row r="279" spans="8:11" x14ac:dyDescent="0.45">
      <c r="H279" s="4"/>
      <c r="I279" s="4"/>
      <c r="J279" s="3"/>
      <c r="K279" s="3"/>
    </row>
    <row r="280" spans="8:11" x14ac:dyDescent="0.45">
      <c r="H280" s="4"/>
      <c r="I280" s="4"/>
      <c r="J280" s="3"/>
      <c r="K280" s="3"/>
    </row>
    <row r="281" spans="8:11" x14ac:dyDescent="0.45">
      <c r="H281" s="4"/>
      <c r="I281" s="4"/>
      <c r="J281" s="3"/>
      <c r="K281" s="3"/>
    </row>
    <row r="282" spans="8:11" x14ac:dyDescent="0.45">
      <c r="J282" s="3"/>
      <c r="K282" s="3"/>
    </row>
    <row r="283" spans="8:11" x14ac:dyDescent="0.45">
      <c r="J283" s="3"/>
      <c r="K283" s="3"/>
    </row>
    <row r="284" spans="8:11" x14ac:dyDescent="0.45">
      <c r="J284" s="3"/>
      <c r="K284" s="3"/>
    </row>
    <row r="285" spans="8:11" x14ac:dyDescent="0.45">
      <c r="J285" s="3"/>
      <c r="K285" s="3"/>
    </row>
    <row r="286" spans="8:11" x14ac:dyDescent="0.45">
      <c r="J286" s="3"/>
      <c r="K286" s="3"/>
    </row>
    <row r="287" spans="8:11" x14ac:dyDescent="0.45">
      <c r="J287" s="3"/>
      <c r="K287" s="3"/>
    </row>
    <row r="288" spans="8:11" x14ac:dyDescent="0.45">
      <c r="J288" s="3"/>
      <c r="K288" s="3"/>
    </row>
    <row r="289" spans="10:11" x14ac:dyDescent="0.45">
      <c r="J289" s="3"/>
      <c r="K289" s="3"/>
    </row>
    <row r="290" spans="10:11" x14ac:dyDescent="0.45">
      <c r="J290" s="3"/>
      <c r="K290" s="3"/>
    </row>
    <row r="291" spans="10:11" x14ac:dyDescent="0.45">
      <c r="J291" s="3"/>
      <c r="K291" s="3"/>
    </row>
    <row r="292" spans="10:11" x14ac:dyDescent="0.45">
      <c r="J292" s="3"/>
      <c r="K292" s="3"/>
    </row>
    <row r="293" spans="10:11" x14ac:dyDescent="0.45">
      <c r="J293" s="3"/>
      <c r="K293" s="3"/>
    </row>
    <row r="294" spans="10:11" x14ac:dyDescent="0.45">
      <c r="J294" s="3"/>
      <c r="K294" s="3"/>
    </row>
    <row r="295" spans="10:11" x14ac:dyDescent="0.45">
      <c r="J295" s="3"/>
      <c r="K295" s="3"/>
    </row>
    <row r="296" spans="10:11" x14ac:dyDescent="0.45">
      <c r="J296" s="3"/>
      <c r="K296" s="3"/>
    </row>
    <row r="297" spans="10:11" x14ac:dyDescent="0.45">
      <c r="J297" s="3"/>
      <c r="K297" s="3"/>
    </row>
    <row r="298" spans="10:11" x14ac:dyDescent="0.45">
      <c r="J298" s="3"/>
      <c r="K298" s="3"/>
    </row>
    <row r="299" spans="10:11" x14ac:dyDescent="0.45">
      <c r="J299" s="3"/>
      <c r="K299" s="3"/>
    </row>
    <row r="300" spans="10:11" x14ac:dyDescent="0.45">
      <c r="J300" s="3"/>
      <c r="K300" s="3"/>
    </row>
    <row r="301" spans="10:11" x14ac:dyDescent="0.45">
      <c r="J301" s="3"/>
      <c r="K301" s="3"/>
    </row>
    <row r="302" spans="10:11" x14ac:dyDescent="0.45">
      <c r="J302" s="3"/>
    </row>
    <row r="303" spans="10:11" x14ac:dyDescent="0.45">
      <c r="J303" s="3"/>
    </row>
    <row r="304" spans="10:11" x14ac:dyDescent="0.45">
      <c r="J304" s="3"/>
    </row>
    <row r="305" spans="10:10" x14ac:dyDescent="0.45">
      <c r="J305" s="3"/>
    </row>
  </sheetData>
  <autoFilter ref="A2:N242" xr:uid="{00000000-0009-0000-0000-000000000000}">
    <filterColumn colId="0">
      <filters>
        <filter val="16"/>
      </filters>
    </filterColumn>
  </autoFilter>
  <dataConsolidate>
    <dataRefs count="1">
      <dataRef ref="C3:D9" sheet="Sheet1"/>
    </dataRefs>
  </dataConsolidate>
  <pageMargins left="0.7" right="0.7" top="0.75" bottom="0.75" header="0.3" footer="0.3"/>
  <pageSetup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</dc:creator>
  <cp:lastModifiedBy>Mayur Makwana</cp:lastModifiedBy>
  <dcterms:created xsi:type="dcterms:W3CDTF">2012-06-06T06:07:21Z</dcterms:created>
  <dcterms:modified xsi:type="dcterms:W3CDTF">2025-06-02T09:54:58Z</dcterms:modified>
</cp:coreProperties>
</file>